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・予算" sheetId="1" state="visible" r:id="rId3"/>
    <sheet name="WBS" sheetId="2" state="visible" r:id="rId4"/>
    <sheet name="体制図" sheetId="3" state="visible" r:id="rId5"/>
    <sheet name="要員計画" sheetId="4" state="visible" r:id="rId6"/>
    <sheet name="リスク・ステークホルダー" sheetId="5" state="visible" r:id="rId7"/>
  </sheets>
  <definedNames>
    <definedName function="false" hidden="false" localSheetId="1" name="_xlnm.Print_Titles" vbProcedure="false">WBS!$4:$4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<sst xmlns="http://schemas.openxmlformats.org/spreadsheetml/2006/main" count="889" uniqueCount="481">
  <si>
    <r>
      <rPr>
        <b val="true"/>
        <sz val="14"/>
        <color rgb="FF000000"/>
        <rFont val="Meiryo UI"/>
        <family val="0"/>
        <charset val="1"/>
      </rPr>
      <t xml:space="preserve">B</t>
    </r>
    <r>
      <rPr>
        <b val="true"/>
        <sz val="14"/>
        <color rgb="FF000000"/>
        <rFont val="Noto Sans CJK SC"/>
        <family val="2"/>
      </rPr>
      <t xml:space="preserve">社 販売・在庫管理システム </t>
    </r>
    <r>
      <rPr>
        <b val="true"/>
        <sz val="14"/>
        <color rgb="FF000000"/>
        <rFont val="Meiryo UI"/>
        <family val="0"/>
        <charset val="1"/>
      </rPr>
      <t xml:space="preserve">AWS</t>
    </r>
    <r>
      <rPr>
        <b val="true"/>
        <sz val="14"/>
        <color rgb="FF000000"/>
        <rFont val="Noto Sans CJK SC"/>
        <family val="2"/>
      </rPr>
      <t xml:space="preserve">モダナイズ</t>
    </r>
    <r>
      <rPr>
        <b val="true"/>
        <sz val="14"/>
        <color rgb="FF000000"/>
        <rFont val="Meiryo UI"/>
        <family val="0"/>
        <charset val="1"/>
      </rPr>
      <t xml:space="preserve">PJ ― </t>
    </r>
    <r>
      <rPr>
        <b val="true"/>
        <sz val="14"/>
        <color rgb="FF000000"/>
        <rFont val="Noto Sans CJK SC"/>
        <family val="2"/>
      </rPr>
      <t xml:space="preserve">前提条件と予算配分</t>
    </r>
  </si>
  <si>
    <t xml:space="preserve">入力項目</t>
  </si>
  <si>
    <t xml:space="preserve">値</t>
  </si>
  <si>
    <t xml:space="preserve">根拠・備考</t>
  </si>
  <si>
    <t xml:space="preserve">予算総額（万円）</t>
  </si>
  <si>
    <t xml:space="preserve">課題条件</t>
  </si>
  <si>
    <r>
      <rPr>
        <sz val="11"/>
        <color theme="1"/>
        <rFont val="Noto Sans CJK SC"/>
        <family val="2"/>
      </rPr>
      <t xml:space="preserve">社員単価（万円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人月）</t>
    </r>
  </si>
  <si>
    <r>
      <rPr>
        <sz val="11"/>
        <color theme="1"/>
        <rFont val="Noto Sans CJK SC"/>
        <family val="2"/>
      </rPr>
      <t xml:space="preserve">パートナー単価（万円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人月）</t>
    </r>
  </si>
  <si>
    <t xml:space="preserve">パートナー比率上限</t>
  </si>
  <si>
    <t xml:space="preserve">課題条件（人数・人月・各月の要員数のいずれでも満たす）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</si>
  <si>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利用料・ツール費（万円）</t>
    </r>
  </si>
  <si>
    <r>
      <rPr>
        <sz val="11"/>
        <color theme="1"/>
        <rFont val="Noto Sans CJK SC"/>
        <family val="2"/>
      </rPr>
      <t xml:space="preserve">開発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検証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本番環境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ヶ月分＋開発ツール。想定値</t>
    </r>
  </si>
  <si>
    <t xml:space="preserve">予算配分・チェック</t>
  </si>
  <si>
    <t xml:space="preserve">備考</t>
  </si>
  <si>
    <t xml:space="preserve">人件費（社員）</t>
  </si>
  <si>
    <t xml:space="preserve">要員計画シートより</t>
  </si>
  <si>
    <t xml:space="preserve">人件費（パートナー）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</si>
  <si>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利用料・ツール費</t>
    </r>
  </si>
  <si>
    <t xml:space="preserve">予備費（リスク対応）</t>
  </si>
  <si>
    <t xml:space="preserve">スコープ変更・遅延対応に充当。ステコミ承認で執行</t>
  </si>
  <si>
    <t xml:space="preserve">合計（万円）</t>
  </si>
  <si>
    <t xml:space="preserve">予算総額と一致</t>
  </si>
  <si>
    <t xml:space="preserve">予備費率</t>
  </si>
  <si>
    <r>
      <rPr>
        <sz val="11"/>
        <color theme="1"/>
        <rFont val="Noto Sans CJK SC"/>
        <family val="2"/>
      </rPr>
      <t xml:space="preserve">目安</t>
    </r>
    <r>
      <rPr>
        <sz val="11"/>
        <color theme="1"/>
        <rFont val="Meiryo UI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10%</t>
    </r>
  </si>
  <si>
    <t xml:space="preserve">総工数（人月）</t>
  </si>
  <si>
    <t xml:space="preserve">当社（社員＋パートナー）</t>
  </si>
  <si>
    <t xml:space="preserve">パートナー比率（人数）</t>
  </si>
  <si>
    <r>
      <rPr>
        <sz val="11"/>
        <color theme="1"/>
        <rFont val="Noto Sans CJK SC"/>
        <family val="2"/>
      </rPr>
      <t xml:space="preserve">社員</t>
    </r>
    <r>
      <rPr>
        <sz val="11"/>
        <color theme="1"/>
        <rFont val="Meiryo UI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名・パートナー</t>
    </r>
    <r>
      <rPr>
        <sz val="11"/>
        <color theme="1"/>
        <rFont val="Meiryo UI"/>
        <family val="0"/>
        <charset val="1"/>
      </rPr>
      <t xml:space="preserve">6</t>
    </r>
    <r>
      <rPr>
        <sz val="11"/>
        <color theme="1"/>
        <rFont val="Noto Sans CJK SC"/>
        <family val="2"/>
      </rPr>
      <t xml:space="preserve">名</t>
    </r>
  </si>
  <si>
    <t xml:space="preserve">パートナー比率（人月）</t>
  </si>
  <si>
    <t xml:space="preserve">パートナー比率（月別の最大）</t>
  </si>
  <si>
    <r>
      <rPr>
        <sz val="11"/>
        <color theme="1"/>
        <rFont val="Noto Sans CJK SC"/>
        <family val="2"/>
      </rPr>
      <t xml:space="preserve">ピーク月（</t>
    </r>
    <r>
      <rPr>
        <sz val="11"/>
        <color theme="1"/>
        <rFont val="Meiryo UI"/>
        <family val="0"/>
        <charset val="1"/>
      </rPr>
      <t xml:space="preserve">M7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M8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</si>
  <si>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</t>
    </r>
    <r>
      <rPr>
        <sz val="11"/>
        <color theme="1"/>
        <rFont val="Meiryo UI"/>
        <family val="0"/>
        <charset val="1"/>
      </rPr>
      <t xml:space="preserve">60%</t>
    </r>
    <r>
      <rPr>
        <sz val="11"/>
        <color theme="1"/>
        <rFont val="Noto Sans CJK SC"/>
        <family val="2"/>
      </rPr>
      <t xml:space="preserve">チェック</t>
    </r>
  </si>
  <si>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指標すべてで上限以内</t>
    </r>
  </si>
  <si>
    <t xml:space="preserve">プロジェクト前提・方針</t>
  </si>
  <si>
    <r>
      <rPr>
        <sz val="11"/>
        <color theme="1"/>
        <rFont val="Noto Sans CJK SC"/>
        <family val="2"/>
      </rPr>
      <t xml:space="preserve">【進め方】全面再構築ではなく「段階的モダナイズ」。本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（フェーズ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）は販売・在庫のコア業務を</t>
    </r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上の新アーキテクチャへ移行し、周辺機能・帳票の高度化はフェーズ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とする。</t>
    </r>
  </si>
  <si>
    <r>
      <rPr>
        <sz val="11"/>
        <color theme="1"/>
        <rFont val="Noto Sans CJK SC"/>
        <family val="2"/>
      </rPr>
      <t xml:space="preserve">【理由】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億円・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ヶ月（約</t>
    </r>
    <r>
      <rPr>
        <sz val="11"/>
        <color theme="1"/>
        <rFont val="Meiryo UI"/>
        <family val="0"/>
        <charset val="1"/>
      </rPr>
      <t xml:space="preserve">70</t>
    </r>
    <r>
      <rPr>
        <sz val="11"/>
        <color theme="1"/>
        <rFont val="Noto Sans CJK SC"/>
        <family val="2"/>
      </rPr>
      <t xml:space="preserve">人月）で基幹全体の作り直しは非現実的。コア機能に絞り、業務停止リスクを抑えて確実にリリースする。</t>
    </r>
  </si>
  <si>
    <r>
      <rPr>
        <sz val="11"/>
        <color theme="1"/>
        <rFont val="Noto Sans CJK SC"/>
        <family val="2"/>
      </rPr>
      <t xml:space="preserve">【スケジュール】</t>
    </r>
    <r>
      <rPr>
        <sz val="11"/>
        <color theme="1"/>
        <rFont val="Meiryo UI"/>
        <family val="0"/>
        <charset val="1"/>
      </rPr>
      <t xml:space="preserve">M1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M12</t>
    </r>
    <r>
      <rPr>
        <sz val="11"/>
        <color theme="1"/>
        <rFont val="Noto Sans CJK SC"/>
        <family val="2"/>
      </rPr>
      <t xml:space="preserve">。本番リリースは</t>
    </r>
    <r>
      <rPr>
        <sz val="11"/>
        <color theme="1"/>
        <rFont val="Meiryo UI"/>
        <family val="0"/>
        <charset val="1"/>
      </rPr>
      <t xml:space="preserve">M11</t>
    </r>
    <r>
      <rPr>
        <sz val="11"/>
        <color theme="1"/>
        <rFont val="Noto Sans CJK SC"/>
        <family val="2"/>
      </rPr>
      <t xml:space="preserve">末、</t>
    </r>
    <r>
      <rPr>
        <sz val="11"/>
        <color theme="1"/>
        <rFont val="Meiryo UI"/>
        <family val="0"/>
        <charset val="1"/>
      </rPr>
      <t xml:space="preserve">M12</t>
    </r>
    <r>
      <rPr>
        <sz val="11"/>
        <color theme="1"/>
        <rFont val="Noto Sans CJK SC"/>
        <family val="2"/>
      </rPr>
      <t xml:space="preserve">はハイパーケア・運用引継ぎ・旧環境停止（移行完了）。</t>
    </r>
  </si>
  <si>
    <r>
      <rPr>
        <sz val="11"/>
        <color theme="1"/>
        <rFont val="Noto Sans CJK SC"/>
        <family val="2"/>
      </rPr>
      <t xml:space="preserve">【切替時期】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社の月末締め・決算期を避けて切替日を設定する（要件定義で確定）。</t>
    </r>
  </si>
  <si>
    <r>
      <rPr>
        <sz val="11"/>
        <color theme="1"/>
        <rFont val="Noto Sans CJK SC"/>
        <family val="2"/>
      </rPr>
      <t xml:space="preserve">【窓口】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社との窓口は情シス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推進担当に一本化。既存ベンダーへの照会も情シス経由（または三者連絡会）で行う。</t>
    </r>
  </si>
  <si>
    <r>
      <rPr>
        <sz val="11"/>
        <color theme="1"/>
        <rFont val="Noto Sans CJK SC"/>
        <family val="2"/>
      </rPr>
      <t xml:space="preserve">【予算外】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社側作業（【顧客】タスク）と既存ベンダーの作業（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社との保守契約で対応）は本予算外。当社事業部長は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工数外。</t>
    </r>
  </si>
  <si>
    <r>
      <rPr>
        <sz val="11"/>
        <color theme="1"/>
        <rFont val="Noto Sans CJK SC"/>
        <family val="2"/>
      </rPr>
      <t xml:space="preserve">【体制】</t>
    </r>
    <r>
      <rPr>
        <sz val="11"/>
        <color theme="1"/>
        <rFont val="Meiryo UI"/>
        <family val="0"/>
        <charset val="1"/>
      </rPr>
      <t xml:space="preserve">PM</t>
    </r>
    <r>
      <rPr>
        <sz val="11"/>
        <color theme="1"/>
        <rFont val="Noto Sans CJK SC"/>
        <family val="2"/>
      </rPr>
      <t xml:space="preserve">・業務リード・アーキテクト・開発リーダーの要所</t>
    </r>
    <r>
      <rPr>
        <sz val="11"/>
        <color theme="1"/>
        <rFont val="Meiryo UI"/>
        <family val="0"/>
        <charset val="1"/>
      </rPr>
      <t xml:space="preserve">4</t>
    </r>
    <r>
      <rPr>
        <sz val="11"/>
        <color theme="1"/>
        <rFont val="Noto Sans CJK SC"/>
        <family val="2"/>
      </rPr>
      <t xml:space="preserve">名を社員で固め、パートナーは実装・基盤構築・テスト・移行に配置。</t>
    </r>
  </si>
  <si>
    <r>
      <rPr>
        <b val="true"/>
        <sz val="14"/>
        <color rgb="FF000000"/>
        <rFont val="Meiryo UI"/>
        <family val="0"/>
        <charset val="1"/>
      </rPr>
      <t xml:space="preserve">① WBS</t>
    </r>
    <r>
      <rPr>
        <b val="true"/>
        <sz val="14"/>
        <color rgb="FF000000"/>
        <rFont val="Noto Sans CJK SC"/>
        <family val="2"/>
      </rPr>
      <t xml:space="preserve">（作業分解構成図）</t>
    </r>
  </si>
  <si>
    <r>
      <rPr>
        <sz val="9"/>
        <color rgb="FF000000"/>
        <rFont val="Noto Sans CJK SC"/>
        <family val="2"/>
      </rPr>
      <t xml:space="preserve">◆＝マイルストーン（フェーズゲート：ステコミで判定）　【顧客】＝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社側タスク　【既存ベンダー】＝既存ベンダー側タスク</t>
    </r>
  </si>
  <si>
    <t xml:space="preserve">■</t>
  </si>
  <si>
    <t xml:space="preserve">フェーズ</t>
  </si>
  <si>
    <t xml:space="preserve">当社</t>
  </si>
  <si>
    <t xml:space="preserve">顧客</t>
  </si>
  <si>
    <t xml:space="preserve">既存ﾍﾞﾝﾀﾞｰ</t>
  </si>
  <si>
    <t xml:space="preserve">WBS No</t>
  </si>
  <si>
    <t xml:space="preserve">作業項目</t>
  </si>
  <si>
    <t xml:space="preserve">成果物</t>
  </si>
  <si>
    <t xml:space="preserve">担当</t>
  </si>
  <si>
    <t xml:space="preserve">開始月</t>
  </si>
  <si>
    <t xml:space="preserve">終了月</t>
  </si>
  <si>
    <r>
      <rPr>
        <b val="true"/>
        <sz val="10"/>
        <color rgb="FFFFFFFF"/>
        <rFont val="Noto Sans CJK SC"/>
        <family val="2"/>
      </rPr>
      <t xml:space="preserve">工数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人月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</si>
  <si>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</si>
  <si>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</si>
  <si>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</si>
  <si>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</si>
  <si>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</si>
  <si>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</si>
  <si>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</si>
  <si>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</si>
  <si>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</si>
  <si>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</si>
  <si>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</si>
  <si>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</si>
  <si>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主要マイルストーン</t>
  </si>
  <si>
    <t xml:space="preserve">◆</t>
  </si>
  <si>
    <t xml:space="preserve">1</t>
  </si>
  <si>
    <t xml:space="preserve">プロジェクト管理</t>
  </si>
  <si>
    <t xml:space="preserve">1.1</t>
  </si>
  <si>
    <t xml:space="preserve">プロジェクト計画書作成</t>
  </si>
  <si>
    <t xml:space="preserve">プロジェクト計画書</t>
  </si>
  <si>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チーム</t>
    </r>
  </si>
  <si>
    <t xml:space="preserve">1.2</t>
  </si>
  <si>
    <t xml:space="preserve">【顧客】プロジェクト計画・予算の承認</t>
  </si>
  <si>
    <t xml:space="preserve">承認記録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</si>
  <si>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（管掌役員）</t>
    </r>
  </si>
  <si>
    <t xml:space="preserve">―</t>
  </si>
  <si>
    <t xml:space="preserve">1.3</t>
  </si>
  <si>
    <t xml:space="preserve">進捗・課題・リスク管理（週次定例運営）</t>
  </si>
  <si>
    <r>
      <rPr>
        <sz val="9"/>
        <color rgb="FF000000"/>
        <rFont val="Noto Sans CJK SC"/>
        <family val="2"/>
      </rPr>
      <t xml:space="preserve">週次報告書・課題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リスク管理表</t>
    </r>
  </si>
  <si>
    <t xml:space="preserve">1.4</t>
  </si>
  <si>
    <t xml:space="preserve">ステアリングコミッティ運営・フェーズゲート判定準備</t>
  </si>
  <si>
    <t xml:space="preserve">ステコミ資料・議事録</t>
  </si>
  <si>
    <t xml:space="preserve">1.5</t>
  </si>
  <si>
    <t xml:space="preserve">変更管理・予算（予実）管理</t>
  </si>
  <si>
    <t xml:space="preserve">変更管理票・予実管理表</t>
  </si>
  <si>
    <t xml:space="preserve">1.6</t>
  </si>
  <si>
    <t xml:space="preserve">品質管理（レビュー計画・品質指標のモニタリング）</t>
  </si>
  <si>
    <t xml:space="preserve">品質計画書・品質報告</t>
  </si>
  <si>
    <t xml:space="preserve">1.7</t>
  </si>
  <si>
    <t xml:space="preserve">プロジェクト完了報告・振り返り</t>
  </si>
  <si>
    <t xml:space="preserve">完了報告書・教訓録</t>
  </si>
  <si>
    <t xml:space="preserve">2</t>
  </si>
  <si>
    <t xml:space="preserve">立上げ</t>
  </si>
  <si>
    <t xml:space="preserve">2.1</t>
  </si>
  <si>
    <r>
      <rPr>
        <sz val="9"/>
        <color rgb="FF000000"/>
        <rFont val="Noto Sans CJK SC"/>
        <family val="2"/>
      </rPr>
      <t xml:space="preserve">キックオフ準備・開催（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社・既存ベンダー含む）</t>
    </r>
  </si>
  <si>
    <t xml:space="preserve">キックオフ資料</t>
  </si>
  <si>
    <t xml:space="preserve">2.2</t>
  </si>
  <si>
    <t xml:space="preserve">ステークホルダー分析・コミュニケーション計画策定</t>
  </si>
  <si>
    <t xml:space="preserve">体制図・会議体定義書</t>
  </si>
  <si>
    <t xml:space="preserve">2.3</t>
  </si>
  <si>
    <r>
      <rPr>
        <sz val="9"/>
        <color rgb="FF000000"/>
        <rFont val="Noto Sans CJK SC"/>
        <family val="2"/>
      </rPr>
      <t xml:space="preserve">【顧客】キーパーソン（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）の任命・要件定義権限の付与</t>
    </r>
  </si>
  <si>
    <t xml:space="preserve">任命通知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</si>
  <si>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ユーザー部門長</t>
    </r>
  </si>
  <si>
    <t xml:space="preserve">2.4</t>
  </si>
  <si>
    <t xml:space="preserve">【顧客】既存ベンダーへの協力依頼・協力範囲の契約調整</t>
  </si>
  <si>
    <t xml:space="preserve">協力依頼書・契約変更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</si>
  <si>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</t>
    </r>
  </si>
  <si>
    <t xml:space="preserve">2.5</t>
  </si>
  <si>
    <t xml:space="preserve">開発標準・プロジェクト管理ツール整備</t>
  </si>
  <si>
    <t xml:space="preserve">開発標準書</t>
  </si>
  <si>
    <t xml:space="preserve">基盤チーム</t>
  </si>
  <si>
    <t xml:space="preserve">◆ キックオフ</t>
  </si>
  <si>
    <t xml:space="preserve">ステアリングコミッティ</t>
  </si>
  <si>
    <t xml:space="preserve">3</t>
  </si>
  <si>
    <t xml:space="preserve">現行調査・要件定義</t>
  </si>
  <si>
    <t xml:space="preserve">3.1</t>
  </si>
  <si>
    <r>
      <rPr>
        <sz val="9"/>
        <color rgb="FF000000"/>
        <rFont val="Noto Sans CJK SC"/>
        <family val="2"/>
      </rPr>
      <t xml:space="preserve">現行システム資産調査（機能・データ・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）</t>
    </r>
  </si>
  <si>
    <t xml:space="preserve">現行資産一覧・現行仕様整理</t>
  </si>
  <si>
    <t xml:space="preserve">3.2</t>
  </si>
  <si>
    <t xml:space="preserve">【既存ベンダー】現行仕様書・資料の提供、仕様照会への回答</t>
  </si>
  <si>
    <t xml:space="preserve">現行仕様書・照会回答</t>
  </si>
  <si>
    <t xml:space="preserve">既存ベンダー窓口</t>
  </si>
  <si>
    <t xml:space="preserve">3.3</t>
  </si>
  <si>
    <r>
      <rPr>
        <sz val="9"/>
        <color rgb="FF000000"/>
        <rFont val="Meiryo UI"/>
        <family val="0"/>
        <charset val="1"/>
      </rPr>
      <t xml:space="preserve">As-Is</t>
    </r>
    <r>
      <rPr>
        <sz val="9"/>
        <color rgb="FF000000"/>
        <rFont val="Noto Sans CJK SC"/>
        <family val="2"/>
      </rPr>
      <t xml:space="preserve">業務ヒアリング（営業・経理）</t>
    </r>
  </si>
  <si>
    <r>
      <rPr>
        <sz val="9"/>
        <color rgb="FF000000"/>
        <rFont val="Noto Sans CJK SC"/>
        <family val="2"/>
      </rPr>
      <t xml:space="preserve">業務フロー（</t>
    </r>
    <r>
      <rPr>
        <sz val="9"/>
        <color rgb="FF000000"/>
        <rFont val="Meiryo UI"/>
        <family val="0"/>
        <charset val="1"/>
      </rPr>
      <t xml:space="preserve">As-Is</t>
    </r>
    <r>
      <rPr>
        <sz val="9"/>
        <color rgb="FF000000"/>
        <rFont val="Noto Sans CJK SC"/>
        <family val="2"/>
      </rPr>
      <t xml:space="preserve">）・課題一覧</t>
    </r>
  </si>
  <si>
    <t xml:space="preserve">業務チーム</t>
  </si>
  <si>
    <t xml:space="preserve">3.4</t>
  </si>
  <si>
    <t xml:space="preserve">【顧客】現行業務・課題の説明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</si>
  <si>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（営業・経理）</t>
    </r>
  </si>
  <si>
    <t xml:space="preserve">3.5</t>
  </si>
  <si>
    <r>
      <rPr>
        <sz val="9"/>
        <color rgb="FF000000"/>
        <rFont val="Meiryo UI"/>
        <family val="0"/>
        <charset val="1"/>
      </rPr>
      <t xml:space="preserve">To-Be</t>
    </r>
    <r>
      <rPr>
        <sz val="9"/>
        <color rgb="FF000000"/>
        <rFont val="Noto Sans CJK SC"/>
        <family val="2"/>
      </rPr>
      <t xml:space="preserve">業務・機能要件定義</t>
    </r>
  </si>
  <si>
    <t xml:space="preserve">要件定義書（機能）</t>
  </si>
  <si>
    <t xml:space="preserve">3.6</t>
  </si>
  <si>
    <t xml:space="preserve">【顧客】業務要件の決定（部門内合意）</t>
  </si>
  <si>
    <t xml:space="preserve">要件決定記録</t>
  </si>
  <si>
    <t xml:space="preserve">3.7</t>
  </si>
  <si>
    <t xml:space="preserve">非機能要件定義（性能・可用性・セキュリティ）</t>
  </si>
  <si>
    <t xml:space="preserve">要件定義書（非機能）</t>
  </si>
  <si>
    <t xml:space="preserve">3.8</t>
  </si>
  <si>
    <t xml:space="preserve">移行方針策定（移行対象・範囲・方式）</t>
  </si>
  <si>
    <t xml:space="preserve">移行方針書</t>
  </si>
  <si>
    <t xml:space="preserve">3.9</t>
  </si>
  <si>
    <r>
      <rPr>
        <sz val="9"/>
        <color rgb="FF000000"/>
        <rFont val="Noto Sans CJK SC"/>
        <family val="2"/>
      </rPr>
      <t xml:space="preserve">スコープ確定（フェーズ</t>
    </r>
    <r>
      <rPr>
        <sz val="9"/>
        <color rgb="FF000000"/>
        <rFont val="Meiryo UI"/>
        <family val="0"/>
        <charset val="1"/>
      </rPr>
      <t xml:space="preserve">1/2</t>
    </r>
    <r>
      <rPr>
        <sz val="9"/>
        <color rgb="FF000000"/>
        <rFont val="Noto Sans CJK SC"/>
        <family val="2"/>
      </rPr>
      <t xml:space="preserve">の切り分け）</t>
    </r>
  </si>
  <si>
    <t xml:space="preserve">スコープ定義書</t>
  </si>
  <si>
    <t xml:space="preserve">3.10</t>
  </si>
  <si>
    <t xml:space="preserve">【顧客】要件定義書の承認・スコープの最終決裁</t>
  </si>
  <si>
    <r>
      <rPr>
        <b val="true"/>
        <sz val="9"/>
        <color rgb="FFC00000"/>
        <rFont val="Meiryo UI"/>
        <family val="0"/>
        <charset val="1"/>
      </rPr>
      <t xml:space="preserve">◆ G1 </t>
    </r>
    <r>
      <rPr>
        <b val="true"/>
        <sz val="9"/>
        <color rgb="FFC00000"/>
        <rFont val="Noto Sans CJK SC"/>
        <family val="2"/>
      </rPr>
      <t xml:space="preserve">要件定義完了・スコープ合意</t>
    </r>
  </si>
  <si>
    <t xml:space="preserve">4</t>
  </si>
  <si>
    <r>
      <rPr>
        <b val="true"/>
        <sz val="10"/>
        <color rgb="FF000000"/>
        <rFont val="Noto Sans CJK SC"/>
        <family val="2"/>
      </rPr>
      <t xml:space="preserve">アーキテクチャ設計・</t>
    </r>
    <r>
      <rPr>
        <b val="true"/>
        <sz val="10"/>
        <color rgb="FF000000"/>
        <rFont val="Meiryo UI"/>
        <family val="0"/>
        <charset val="1"/>
      </rPr>
      <t xml:space="preserve">AWS</t>
    </r>
    <r>
      <rPr>
        <b val="true"/>
        <sz val="10"/>
        <color rgb="FF000000"/>
        <rFont val="Noto Sans CJK SC"/>
        <family val="2"/>
      </rPr>
      <t xml:space="preserve">基盤構築</t>
    </r>
  </si>
  <si>
    <t xml:space="preserve">4.1</t>
  </si>
  <si>
    <r>
      <rPr>
        <sz val="9"/>
        <color rgb="FF000000"/>
        <rFont val="Meiryo UI"/>
        <family val="0"/>
        <charset val="1"/>
      </rPr>
      <t xml:space="preserve">AWS</t>
    </r>
    <r>
      <rPr>
        <sz val="9"/>
        <color rgb="FF000000"/>
        <rFont val="Noto Sans CJK SC"/>
        <family val="2"/>
      </rPr>
      <t xml:space="preserve">アーキテクチャ設計（コンテナ・マネージド</t>
    </r>
    <r>
      <rPr>
        <sz val="9"/>
        <color rgb="FF000000"/>
        <rFont val="Meiryo UI"/>
        <family val="0"/>
        <charset val="1"/>
      </rPr>
      <t xml:space="preserve">DB</t>
    </r>
    <r>
      <rPr>
        <sz val="9"/>
        <color rgb="FF000000"/>
        <rFont val="Noto Sans CJK SC"/>
        <family val="2"/>
      </rPr>
      <t xml:space="preserve">等）</t>
    </r>
  </si>
  <si>
    <t xml:space="preserve">アーキテクチャ設計書</t>
  </si>
  <si>
    <t xml:space="preserve">4.2</t>
  </si>
  <si>
    <t xml:space="preserve">セキュリティ・ネットワーク設計</t>
  </si>
  <si>
    <t xml:space="preserve">セキュリティ設計書</t>
  </si>
  <si>
    <t xml:space="preserve">4.3</t>
  </si>
  <si>
    <t xml:space="preserve">【顧客】セキュリティ設計の承認（社内規程適合確認）</t>
  </si>
  <si>
    <t xml:space="preserve">4.4</t>
  </si>
  <si>
    <r>
      <rPr>
        <sz val="9"/>
        <color rgb="FF000000"/>
        <rFont val="Noto Sans CJK SC"/>
        <family val="2"/>
      </rPr>
      <t xml:space="preserve">技術検証（</t>
    </r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：性能・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疎通）</t>
    </r>
  </si>
  <si>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報告書</t>
    </r>
  </si>
  <si>
    <t xml:space="preserve">4.5</t>
  </si>
  <si>
    <r>
      <rPr>
        <sz val="9"/>
        <color rgb="FF000000"/>
        <rFont val="Noto Sans CJK SC"/>
        <family val="2"/>
      </rPr>
      <t xml:space="preserve">環境構築（開発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検証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本番・</t>
    </r>
    <r>
      <rPr>
        <sz val="9"/>
        <color rgb="FF000000"/>
        <rFont val="Meiryo UI"/>
        <family val="0"/>
        <charset val="1"/>
      </rPr>
      <t xml:space="preserve">IaC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</si>
  <si>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構築手順書・</t>
    </r>
    <r>
      <rPr>
        <sz val="9"/>
        <color rgb="FF000000"/>
        <rFont val="Meiryo UI"/>
        <family val="0"/>
        <charset val="1"/>
      </rPr>
      <t xml:space="preserve">IaC</t>
    </r>
    <r>
      <rPr>
        <sz val="9"/>
        <color rgb="FF000000"/>
        <rFont val="Noto Sans CJK SC"/>
        <family val="2"/>
      </rPr>
      <t xml:space="preserve">コード</t>
    </r>
  </si>
  <si>
    <t xml:space="preserve">4.6</t>
  </si>
  <si>
    <r>
      <rPr>
        <sz val="9"/>
        <color rgb="FF000000"/>
        <rFont val="Meiryo UI"/>
        <family val="0"/>
        <charset val="1"/>
      </rPr>
      <t xml:space="preserve">CI/CD</t>
    </r>
    <r>
      <rPr>
        <sz val="9"/>
        <color rgb="FF000000"/>
        <rFont val="Noto Sans CJK SC"/>
        <family val="2"/>
      </rPr>
      <t xml:space="preserve">・監視基盤構築</t>
    </r>
  </si>
  <si>
    <r>
      <rPr>
        <sz val="9"/>
        <color rgb="FF000000"/>
        <rFont val="Meiryo UI"/>
        <family val="0"/>
        <charset val="1"/>
      </rPr>
      <t xml:space="preserve">CI/CD</t>
    </r>
    <r>
      <rPr>
        <sz val="9"/>
        <color rgb="FF000000"/>
        <rFont val="Noto Sans CJK SC"/>
        <family val="2"/>
      </rPr>
      <t xml:space="preserve">パイプライン・監視設定</t>
    </r>
  </si>
  <si>
    <t xml:space="preserve">5</t>
  </si>
  <si>
    <t xml:space="preserve">設計</t>
  </si>
  <si>
    <t xml:space="preserve">5.1</t>
  </si>
  <si>
    <t xml:space="preserve">基本設計（画面・帳票・バッチ）</t>
  </si>
  <si>
    <t xml:space="preserve">基本設計書</t>
  </si>
  <si>
    <t xml:space="preserve">5.2</t>
  </si>
  <si>
    <r>
      <rPr>
        <sz val="9"/>
        <color rgb="FF000000"/>
        <rFont val="Noto Sans CJK SC"/>
        <family val="2"/>
      </rPr>
      <t xml:space="preserve">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設計（会計・生産・取引先</t>
    </r>
    <r>
      <rPr>
        <sz val="9"/>
        <color rgb="FF000000"/>
        <rFont val="Meiryo UI"/>
        <family val="0"/>
        <charset val="1"/>
      </rPr>
      <t xml:space="preserve">EDI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</si>
  <si>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仕様書</t>
    </r>
  </si>
  <si>
    <t xml:space="preserve">5.3</t>
  </si>
  <si>
    <t xml:space="preserve">【顧客】画面・帳票イメージの確認</t>
  </si>
  <si>
    <t xml:space="preserve">確認記録</t>
  </si>
  <si>
    <t xml:space="preserve">5.4</t>
  </si>
  <si>
    <t xml:space="preserve">詳細設計</t>
  </si>
  <si>
    <t xml:space="preserve">詳細設計書</t>
  </si>
  <si>
    <t xml:space="preserve">開発チーム</t>
  </si>
  <si>
    <t xml:space="preserve">5.5</t>
  </si>
  <si>
    <t xml:space="preserve">【顧客】基本設計のレビュー・承認</t>
  </si>
  <si>
    <r>
      <rPr>
        <b val="true"/>
        <sz val="9"/>
        <color rgb="FFC00000"/>
        <rFont val="Meiryo UI"/>
        <family val="0"/>
        <charset val="1"/>
      </rPr>
      <t xml:space="preserve">◆ G2 </t>
    </r>
    <r>
      <rPr>
        <b val="true"/>
        <sz val="9"/>
        <color rgb="FFC00000"/>
        <rFont val="Noto Sans CJK SC"/>
        <family val="2"/>
      </rPr>
      <t xml:space="preserve">設計完了</t>
    </r>
  </si>
  <si>
    <t xml:space="preserve">6</t>
  </si>
  <si>
    <t xml:space="preserve">開発・単体テスト</t>
  </si>
  <si>
    <t xml:space="preserve">6.1</t>
  </si>
  <si>
    <t xml:space="preserve">販売管理機能 開発・単体テスト</t>
  </si>
  <si>
    <t xml:space="preserve">ソースコード・単体テスト結果</t>
  </si>
  <si>
    <t xml:space="preserve">6.2</t>
  </si>
  <si>
    <t xml:space="preserve">在庫管理機能 開発・単体テスト</t>
  </si>
  <si>
    <t xml:space="preserve">6.3</t>
  </si>
  <si>
    <r>
      <rPr>
        <sz val="9"/>
        <color rgb="FF000000"/>
        <rFont val="Noto Sans CJK SC"/>
        <family val="2"/>
      </rPr>
      <t xml:space="preserve">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・バッチ 開発・単体テスト</t>
    </r>
  </si>
  <si>
    <t xml:space="preserve">6.4</t>
  </si>
  <si>
    <t xml:space="preserve">コードレビュー・技術支援</t>
  </si>
  <si>
    <t xml:space="preserve">レビュー記録</t>
  </si>
  <si>
    <r>
      <rPr>
        <b val="true"/>
        <sz val="9"/>
        <color rgb="FFC00000"/>
        <rFont val="Meiryo UI"/>
        <family val="0"/>
        <charset val="1"/>
      </rPr>
      <t xml:space="preserve">◆ G3 </t>
    </r>
    <r>
      <rPr>
        <b val="true"/>
        <sz val="9"/>
        <color rgb="FFC00000"/>
        <rFont val="Noto Sans CJK SC"/>
        <family val="2"/>
      </rPr>
      <t xml:space="preserve">開発完了</t>
    </r>
  </si>
  <si>
    <t xml:space="preserve">7</t>
  </si>
  <si>
    <t xml:space="preserve">テスト</t>
  </si>
  <si>
    <t xml:space="preserve">7.1</t>
  </si>
  <si>
    <t xml:space="preserve">テスト計画・テスト仕様書作成</t>
  </si>
  <si>
    <t xml:space="preserve">テスト計画書・テスト仕様書</t>
  </si>
  <si>
    <t xml:space="preserve">テストチーム</t>
  </si>
  <si>
    <t xml:space="preserve">7.2</t>
  </si>
  <si>
    <r>
      <rPr>
        <sz val="9"/>
        <color rgb="FF000000"/>
        <rFont val="Noto Sans CJK SC"/>
        <family val="2"/>
      </rPr>
      <t xml:space="preserve">結合テスト実施（機能間・外部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）</t>
    </r>
  </si>
  <si>
    <t xml:space="preserve">結合テスト結果報告</t>
  </si>
  <si>
    <t xml:space="preserve">7.3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</si>
  <si>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計画・シナリオ作成支援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</si>
  <si>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計画書</t>
    </r>
  </si>
  <si>
    <t xml:space="preserve">7.4</t>
  </si>
  <si>
    <t xml:space="preserve">システムテスト実施（業務シナリオ）</t>
  </si>
  <si>
    <t xml:space="preserve">システムテスト結果報告</t>
  </si>
  <si>
    <t xml:space="preserve">7.5</t>
  </si>
  <si>
    <t xml:space="preserve">性能・障害・セキュリティテスト</t>
  </si>
  <si>
    <t xml:space="preserve">非機能テスト結果報告</t>
  </si>
  <si>
    <t xml:space="preserve">7.6</t>
  </si>
  <si>
    <t xml:space="preserve">結合・システムテスト 不具合修正</t>
  </si>
  <si>
    <t xml:space="preserve">修正記録</t>
  </si>
  <si>
    <t xml:space="preserve">7.7</t>
  </si>
  <si>
    <r>
      <rPr>
        <sz val="9"/>
        <color rgb="FF000000"/>
        <rFont val="Noto Sans CJK SC"/>
        <family val="2"/>
      </rPr>
      <t xml:space="preserve">【顧客】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シナリオ作成・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実施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</si>
  <si>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結果</t>
    </r>
  </si>
  <si>
    <t xml:space="preserve">7.8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</si>
  <si>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支援（問合せ対応・不具合切り分け）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</si>
  <si>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課題管理表</t>
    </r>
  </si>
  <si>
    <t xml:space="preserve">7.9</t>
  </si>
  <si>
    <r>
      <rPr>
        <sz val="9"/>
        <color rgb="FF000000"/>
        <rFont val="Meiryo UI"/>
        <family val="0"/>
        <charset val="1"/>
      </rPr>
      <t xml:space="preserve">UAT </t>
    </r>
    <r>
      <rPr>
        <sz val="9"/>
        <color rgb="FF000000"/>
        <rFont val="Noto Sans CJK SC"/>
        <family val="2"/>
      </rPr>
      <t xml:space="preserve">不具合修正</t>
    </r>
  </si>
  <si>
    <t xml:space="preserve">7.10</t>
  </si>
  <si>
    <t xml:space="preserve">品質評価報告（リリース判定資料）</t>
  </si>
  <si>
    <t xml:space="preserve">品質評価報告書</t>
  </si>
  <si>
    <t xml:space="preserve">7.11</t>
  </si>
  <si>
    <t xml:space="preserve">【顧客】受入判定</t>
  </si>
  <si>
    <t xml:space="preserve">受入確認書</t>
  </si>
  <si>
    <r>
      <rPr>
        <b val="true"/>
        <sz val="9"/>
        <color rgb="FFC00000"/>
        <rFont val="Meiryo UI"/>
        <family val="0"/>
        <charset val="1"/>
      </rPr>
      <t xml:space="preserve">◆ G4 UAT</t>
    </r>
    <r>
      <rPr>
        <b val="true"/>
        <sz val="9"/>
        <color rgb="FFC00000"/>
        <rFont val="Noto Sans CJK SC"/>
        <family val="2"/>
      </rPr>
      <t xml:space="preserve">完了・受入</t>
    </r>
  </si>
  <si>
    <t xml:space="preserve">8</t>
  </si>
  <si>
    <t xml:space="preserve">データ移行</t>
  </si>
  <si>
    <t xml:space="preserve">8.1</t>
  </si>
  <si>
    <t xml:space="preserve">移行設計（対象データ・変換ルール・切替手順）</t>
  </si>
  <si>
    <t xml:space="preserve">移行設計書・切替計画書</t>
  </si>
  <si>
    <t xml:space="preserve">移行チーム</t>
  </si>
  <si>
    <t xml:space="preserve">8.2</t>
  </si>
  <si>
    <t xml:space="preserve">データクレンジングルール定義</t>
  </si>
  <si>
    <t xml:space="preserve">クレンジングルール定義書</t>
  </si>
  <si>
    <t xml:space="preserve">8.3</t>
  </si>
  <si>
    <t xml:space="preserve">【既存ベンダー】現行データの抽出（リハーサル・本番）</t>
  </si>
  <si>
    <t xml:space="preserve">抽出データ</t>
  </si>
  <si>
    <t xml:space="preserve">8.4</t>
  </si>
  <si>
    <t xml:space="preserve">データクレンジング（変換・不備データ抽出）</t>
  </si>
  <si>
    <t xml:space="preserve">不備データ一覧</t>
  </si>
  <si>
    <t xml:space="preserve">8.5</t>
  </si>
  <si>
    <t xml:space="preserve">【顧客】不備データの業務判断・修正</t>
  </si>
  <si>
    <t xml:space="preserve">修正済みデータ</t>
  </si>
  <si>
    <t xml:space="preserve">8.6</t>
  </si>
  <si>
    <t xml:space="preserve">移行ツール開発</t>
  </si>
  <si>
    <t xml:space="preserve">移行ツール</t>
  </si>
  <si>
    <t xml:space="preserve">8.7</t>
  </si>
  <si>
    <t xml:space="preserve">移行リハーサル①（手順検証）</t>
  </si>
  <si>
    <t xml:space="preserve">リハーサル結果報告</t>
  </si>
  <si>
    <t xml:space="preserve">8.8</t>
  </si>
  <si>
    <t xml:space="preserve">移行リハーサル②（本番想定・時間計測）</t>
  </si>
  <si>
    <t xml:space="preserve">8.9</t>
  </si>
  <si>
    <t xml:space="preserve">切り戻し手順整備</t>
  </si>
  <si>
    <t xml:space="preserve">切り戻し手順書</t>
  </si>
  <si>
    <t xml:space="preserve">8.10</t>
  </si>
  <si>
    <r>
      <rPr>
        <sz val="9"/>
        <color rgb="FF000000"/>
        <rFont val="Noto Sans CJK SC"/>
        <family val="2"/>
      </rPr>
      <t xml:space="preserve">移行判定会（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）運営</t>
    </r>
  </si>
  <si>
    <t xml:space="preserve">判定資料・議事録</t>
  </si>
  <si>
    <t xml:space="preserve">8.11</t>
  </si>
  <si>
    <r>
      <rPr>
        <sz val="9"/>
        <color rgb="FF000000"/>
        <rFont val="Noto Sans CJK SC"/>
        <family val="2"/>
      </rPr>
      <t xml:space="preserve">【顧客】本番移行・リリースの最終決裁（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）</t>
    </r>
  </si>
  <si>
    <t xml:space="preserve">決裁記録</t>
  </si>
  <si>
    <t xml:space="preserve">8.12</t>
  </si>
  <si>
    <t xml:space="preserve">本番データ移行</t>
  </si>
  <si>
    <t xml:space="preserve">移行結果報告</t>
  </si>
  <si>
    <t xml:space="preserve">8.13</t>
  </si>
  <si>
    <t xml:space="preserve">本番環境切替</t>
  </si>
  <si>
    <t xml:space="preserve">切替作業記録</t>
  </si>
  <si>
    <r>
      <rPr>
        <b val="true"/>
        <sz val="9"/>
        <color rgb="FFC00000"/>
        <rFont val="Meiryo UI"/>
        <family val="0"/>
        <charset val="1"/>
      </rPr>
      <t xml:space="preserve">◆ G5 </t>
    </r>
    <r>
      <rPr>
        <b val="true"/>
        <sz val="9"/>
        <color rgb="FFC00000"/>
        <rFont val="Noto Sans CJK SC"/>
        <family val="2"/>
      </rPr>
      <t xml:space="preserve">本番リリース</t>
    </r>
  </si>
  <si>
    <t xml:space="preserve">9</t>
  </si>
  <si>
    <t xml:space="preserve">リリース・定着・運用引継ぎ</t>
  </si>
  <si>
    <t xml:space="preserve">9.1</t>
  </si>
  <si>
    <t xml:space="preserve">操作マニュアル作成</t>
  </si>
  <si>
    <t xml:space="preserve">操作マニュアル</t>
  </si>
  <si>
    <t xml:space="preserve">9.2</t>
  </si>
  <si>
    <r>
      <rPr>
        <sz val="9"/>
        <color rgb="FF000000"/>
        <rFont val="Noto Sans CJK SC"/>
        <family val="2"/>
      </rPr>
      <t xml:space="preserve">利用者研修（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向け・展開用教材）</t>
    </r>
  </si>
  <si>
    <t xml:space="preserve">研修資料</t>
  </si>
  <si>
    <t xml:space="preserve">9.3</t>
  </si>
  <si>
    <t xml:space="preserve">【顧客】社内周知・利用者への展開</t>
  </si>
  <si>
    <t xml:space="preserve">9.4</t>
  </si>
  <si>
    <t xml:space="preserve">運用設計・情シスへの運用引継ぎ</t>
  </si>
  <si>
    <t xml:space="preserve">運用手順書・引継書</t>
  </si>
  <si>
    <t xml:space="preserve">9.5</t>
  </si>
  <si>
    <t xml:space="preserve">【顧客】運用引継ぎの受入</t>
  </si>
  <si>
    <t xml:space="preserve">受入記録</t>
  </si>
  <si>
    <t xml:space="preserve">9.6</t>
  </si>
  <si>
    <t xml:space="preserve">ハイパーケア（初回月次締め支援）</t>
  </si>
  <si>
    <t xml:space="preserve">問合せ対応記録</t>
  </si>
  <si>
    <t xml:space="preserve">9.7</t>
  </si>
  <si>
    <t xml:space="preserve">本番監視・安定化対応</t>
  </si>
  <si>
    <t xml:space="preserve">障害・性能レポート</t>
  </si>
  <si>
    <t xml:space="preserve">9.8</t>
  </si>
  <si>
    <t xml:space="preserve">【既存ベンダー】切替時の旧環境運用・引継ぎ協力</t>
  </si>
  <si>
    <t xml:space="preserve">9.9</t>
  </si>
  <si>
    <t xml:space="preserve">旧環境停止・保守終了の調整</t>
  </si>
  <si>
    <t xml:space="preserve">旧環境停止計画</t>
  </si>
  <si>
    <t xml:space="preserve">9.10</t>
  </si>
  <si>
    <t xml:space="preserve">【顧客】旧環境停止・既存ベンダー保守契約終了の決定</t>
  </si>
  <si>
    <t xml:space="preserve">決定記録</t>
  </si>
  <si>
    <r>
      <rPr>
        <b val="true"/>
        <sz val="9"/>
        <color rgb="FFC00000"/>
        <rFont val="Meiryo UI"/>
        <family val="0"/>
        <charset val="1"/>
      </rPr>
      <t xml:space="preserve">◆ G6 </t>
    </r>
    <r>
      <rPr>
        <b val="true"/>
        <sz val="9"/>
        <color rgb="FFC00000"/>
        <rFont val="Noto Sans CJK SC"/>
        <family val="2"/>
      </rPr>
      <t xml:space="preserve">移行完了・プロジェクトクローズ</t>
    </r>
  </si>
  <si>
    <t xml:space="preserve">合計工数（当社・人月）</t>
  </si>
  <si>
    <r>
      <rPr>
        <sz val="9"/>
        <color rgb="FF595959"/>
        <rFont val="Noto Sans CJK SC"/>
        <family val="2"/>
      </rPr>
      <t xml:space="preserve">※ 工数は当社（社員＋パートナー）分のみ。【顧客】【既存ベンダー】タスクは本予算外のため工数「―」とし、計画書で</t>
    </r>
    <r>
      <rPr>
        <sz val="9"/>
        <color rgb="FF595959"/>
        <rFont val="Meiryo UI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社側の必要工数を提示・合意する。</t>
    </r>
  </si>
  <si>
    <t xml:space="preserve">※ 担当欄のチーム名は「② プロジェクト体制図」のチーム名と対応。</t>
  </si>
  <si>
    <t xml:space="preserve">② プロジェクト体制図</t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</si>
  <si>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社（発注者）</t>
    </r>
  </si>
  <si>
    <t xml:space="preserve">当社（受注者）</t>
  </si>
  <si>
    <t xml:space="preserve">既存ベンダー</t>
  </si>
  <si>
    <r>
      <rPr>
        <b val="true"/>
        <sz val="9"/>
        <color rgb="FF000000"/>
        <rFont val="Noto Sans CJK SC"/>
        <family val="2"/>
      </rPr>
      <t xml:space="preserve">ステアリングコミッティ（月次＋フェーズゲート時）
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社：</t>
    </r>
    <r>
      <rPr>
        <b val="true"/>
        <sz val="9"/>
        <color rgb="FF000000"/>
        <rFont val="Meiryo UI"/>
        <family val="0"/>
        <charset val="1"/>
      </rPr>
      <t xml:space="preserve">PO</t>
    </r>
    <r>
      <rPr>
        <b val="true"/>
        <sz val="9"/>
        <color rgb="FF000000"/>
        <rFont val="Noto Sans CJK SC"/>
        <family val="2"/>
      </rPr>
      <t xml:space="preserve">（管掌役員）・ユーザー部門長（営業・経理）・情シス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　／　当社：事業部長・</t>
    </r>
    <r>
      <rPr>
        <b val="true"/>
        <sz val="9"/>
        <color rgb="FF000000"/>
        <rFont val="Meiryo UI"/>
        <family val="0"/>
        <charset val="1"/>
      </rPr>
      <t xml:space="preserve">PM</t>
    </r>
  </si>
  <si>
    <t xml:space="preserve">↓ 報告・エスカレーション　　↑ 意思決定</t>
  </si>
  <si>
    <r>
      <rPr>
        <b val="true"/>
        <sz val="9"/>
        <color rgb="FF000000"/>
        <rFont val="Noto Sans CJK SC"/>
        <family val="2"/>
      </rPr>
      <t xml:space="preserve">プロジェクトオーナー
（管掌役員）
予算・スコープの最終決裁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</t>
    </r>
    <r>
      <rPr>
        <b val="true"/>
        <sz val="9"/>
        <color rgb="FF000000"/>
        <rFont val="Meiryo UI"/>
        <family val="0"/>
        <charset val="1"/>
      </rPr>
      <t xml:space="preserve">PO</t>
    </r>
    <r>
      <rPr>
        <b val="true"/>
        <sz val="9"/>
        <color rgb="FF000000"/>
        <rFont val="Noto Sans CJK SC"/>
        <family val="2"/>
      </rPr>
      <t xml:space="preserve">】</t>
    </r>
  </si>
  <si>
    <r>
      <rPr>
        <sz val="9"/>
        <color rgb="FF000000"/>
        <rFont val="Noto Sans CJK SC"/>
        <family val="2"/>
      </rPr>
      <t xml:space="preserve">当社 事業部長（当社責任者）
要員確保・当社内エスカレーション先　※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工数外</t>
    </r>
  </si>
  <si>
    <r>
      <rPr>
        <b val="true"/>
        <sz val="9"/>
        <color rgb="FF000000"/>
        <rFont val="Noto Sans CJK SC"/>
        <family val="2"/>
      </rPr>
      <t xml:space="preserve">既存ベンダー
（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社と現行保守契約）</t>
    </r>
  </si>
  <si>
    <t xml:space="preserve">↓</t>
  </si>
  <si>
    <r>
      <rPr>
        <b val="true"/>
        <sz val="9"/>
        <color rgb="FF000000"/>
        <rFont val="Noto Sans CJK SC"/>
        <family val="2"/>
      </rPr>
      <t xml:space="preserve">情シス部門
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推進担当（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名）
窓口一本化・社内調整
運用引継ぎの受け手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推進】</t>
    </r>
  </si>
  <si>
    <r>
      <rPr>
        <sz val="7"/>
        <color rgb="FF595959"/>
        <rFont val="Meiryo UI"/>
        <family val="0"/>
        <charset val="1"/>
      </rPr>
      <t xml:space="preserve">⇔
</t>
    </r>
    <r>
      <rPr>
        <sz val="7"/>
        <color rgb="FF595959"/>
        <rFont val="Noto Sans CJK SC"/>
        <family val="2"/>
      </rPr>
      <t xml:space="preserve">窓口
一本化</t>
    </r>
  </si>
  <si>
    <r>
      <rPr>
        <b val="true"/>
        <sz val="9"/>
        <color rgb="FF000000"/>
        <rFont val="Noto Sans CJK SC"/>
        <family val="2"/>
      </rPr>
      <t xml:space="preserve">プロジェクトマネージャー（社員）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名　【</t>
    </r>
    <r>
      <rPr>
        <b val="true"/>
        <sz val="9"/>
        <color rgb="FF000000"/>
        <rFont val="Meiryo UI"/>
        <family val="0"/>
        <charset val="1"/>
      </rPr>
      <t xml:space="preserve">PM</t>
    </r>
    <r>
      <rPr>
        <b val="true"/>
        <sz val="9"/>
        <color rgb="FF000000"/>
        <rFont val="Noto Sans CJK SC"/>
        <family val="2"/>
      </rPr>
      <t xml:space="preserve">チーム】
計画・進捗・課題・リスク・予算・変更管理／品質管理
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社窓口（情シス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推進）との唯一の公式窓口</t>
    </r>
  </si>
  <si>
    <r>
      <rPr>
        <sz val="7"/>
        <color rgb="FF595959"/>
        <rFont val="Meiryo UI"/>
        <family val="0"/>
        <charset val="1"/>
      </rPr>
      <t xml:space="preserve">⇔
</t>
    </r>
    <r>
      <rPr>
        <sz val="7"/>
        <color rgb="FF595959"/>
        <rFont val="Noto Sans CJK SC"/>
        <family val="2"/>
      </rPr>
      <t xml:space="preserve">照会
</t>
    </r>
    <r>
      <rPr>
        <sz val="7"/>
        <color rgb="FF595959"/>
        <rFont val="Meiryo UI"/>
        <family val="0"/>
        <charset val="1"/>
      </rPr>
      <t xml:space="preserve">(</t>
    </r>
    <r>
      <rPr>
        <sz val="7"/>
        <color rgb="FF595959"/>
        <rFont val="Noto Sans CJK SC"/>
        <family val="2"/>
      </rPr>
      <t xml:space="preserve">情シス
経由</t>
    </r>
    <r>
      <rPr>
        <sz val="7"/>
        <color rgb="FF595959"/>
        <rFont val="Meiryo UI"/>
        <family val="0"/>
        <charset val="1"/>
      </rPr>
      <t xml:space="preserve">)</t>
    </r>
  </si>
  <si>
    <t xml:space="preserve">既存ベンダー窓口
引継ぎ協力・
現行仕様照会の窓口
【既存ベンダー窓口】</t>
  </si>
  <si>
    <r>
      <rPr>
        <sz val="9"/>
        <color rgb="FF000000"/>
        <rFont val="Noto Sans CJK SC"/>
        <family val="2"/>
      </rPr>
      <t xml:space="preserve">ユーザー部門長
（営業部長・経理部長）
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を任命・受入判定
【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ユーザー部門長】</t>
    </r>
  </si>
  <si>
    <r>
      <rPr>
        <sz val="8"/>
        <color rgb="FF000000"/>
        <rFont val="Noto Sans CJK SC"/>
        <family val="2"/>
      </rPr>
      <t xml:space="preserve">【業務チーム】
業務リード
（社員）</t>
    </r>
    <r>
      <rPr>
        <sz val="8"/>
        <color rgb="FF000000"/>
        <rFont val="Meiryo UI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名
業務</t>
    </r>
    <r>
      <rPr>
        <sz val="8"/>
        <color rgb="FF000000"/>
        <rFont val="Meiryo UI"/>
        <family val="0"/>
        <charset val="1"/>
      </rPr>
      <t xml:space="preserve">SE
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名
―
要件定義・基本設計
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支援・教育</t>
    </r>
  </si>
  <si>
    <r>
      <rPr>
        <sz val="8"/>
        <color rgb="FF000000"/>
        <rFont val="Noto Sans CJK SC"/>
        <family val="2"/>
      </rPr>
      <t xml:space="preserve">【基盤チーム】
アーキテクト
（社員）</t>
    </r>
    <r>
      <rPr>
        <sz val="8"/>
        <color rgb="FF000000"/>
        <rFont val="Meiryo UI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名
</t>
    </r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エンジニア
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名
―
</t>
    </r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設計・構築
</t>
    </r>
    <r>
      <rPr>
        <sz val="8"/>
        <color rgb="FF000000"/>
        <rFont val="Meiryo UI"/>
        <family val="0"/>
        <charset val="1"/>
      </rPr>
      <t xml:space="preserve">IF</t>
    </r>
    <r>
      <rPr>
        <sz val="8"/>
        <color rgb="FF000000"/>
        <rFont val="Noto Sans CJK SC"/>
        <family val="2"/>
      </rPr>
      <t xml:space="preserve">設計・運用引継ぎ</t>
    </r>
  </si>
  <si>
    <r>
      <rPr>
        <sz val="8"/>
        <color rgb="FF000000"/>
        <rFont val="Noto Sans CJK SC"/>
        <family val="2"/>
      </rPr>
      <t xml:space="preserve">【開発チーム】
開発リーダー
（社員）</t>
    </r>
    <r>
      <rPr>
        <sz val="8"/>
        <color rgb="FF000000"/>
        <rFont val="Meiryo UI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名
開発メンバー
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2</t>
    </r>
    <r>
      <rPr>
        <sz val="8"/>
        <color rgb="FF000000"/>
        <rFont val="Noto Sans CJK SC"/>
        <family val="2"/>
      </rPr>
      <t xml:space="preserve">名
―
詳細設計・開発
不具合修正</t>
    </r>
  </si>
  <si>
    <r>
      <rPr>
        <sz val="8"/>
        <color rgb="FF000000"/>
        <rFont val="Noto Sans CJK SC"/>
        <family val="2"/>
      </rPr>
      <t xml:space="preserve">【テストチーム】
テスト担当
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名
―
テスト計画・実施
品質評価</t>
    </r>
  </si>
  <si>
    <r>
      <rPr>
        <sz val="8"/>
        <color rgb="FF000000"/>
        <rFont val="Noto Sans CJK SC"/>
        <family val="2"/>
      </rPr>
      <t xml:space="preserve">【移行チーム】
移行担当
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1</t>
    </r>
    <r>
      <rPr>
        <sz val="8"/>
        <color rgb="FF000000"/>
        <rFont val="Noto Sans CJK SC"/>
        <family val="2"/>
      </rPr>
      <t xml:space="preserve">名
―
移行設計・ツール
リハーサル・本番</t>
    </r>
  </si>
  <si>
    <t xml:space="preserve">主な協力事項
・現行仕様書の提供
・仕様照会への回答
・現行データの抽出
・切替時の旧環境運用
・旧環境停止・保守終了</t>
  </si>
  <si>
    <t xml:space="preserve">↓ 任命</t>
  </si>
  <si>
    <r>
      <rPr>
        <b val="true"/>
        <sz val="9"/>
        <color rgb="FF000000"/>
        <rFont val="Noto Sans CJK SC"/>
        <family val="2"/>
      </rPr>
      <t xml:space="preserve">ユーザー部門キーパーソン
営業 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名・経理 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
要件定義権限を持つ担当
要件決定・</t>
    </r>
    <r>
      <rPr>
        <b val="true"/>
        <sz val="9"/>
        <color rgb="FF000000"/>
        <rFont val="Meiryo UI"/>
        <family val="0"/>
        <charset val="1"/>
      </rPr>
      <t xml:space="preserve">UAT</t>
    </r>
    <r>
      <rPr>
        <b val="true"/>
        <sz val="9"/>
        <color rgb="FF000000"/>
        <rFont val="Noto Sans CJK SC"/>
        <family val="2"/>
      </rPr>
      <t xml:space="preserve">・社内展開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</t>
    </r>
    <r>
      <rPr>
        <b val="true"/>
        <sz val="9"/>
        <color rgb="FF000000"/>
        <rFont val="Meiryo UI"/>
        <family val="0"/>
        <charset val="1"/>
      </rPr>
      <t xml:space="preserve">KP</t>
    </r>
    <r>
      <rPr>
        <b val="true"/>
        <sz val="9"/>
        <color rgb="FF000000"/>
        <rFont val="Noto Sans CJK SC"/>
        <family val="2"/>
      </rPr>
      <t xml:space="preserve">（営業・経理）】</t>
    </r>
  </si>
  <si>
    <r>
      <rPr>
        <sz val="8"/>
        <color rgb="FF595959"/>
        <rFont val="Noto Sans CJK SC"/>
        <family val="2"/>
      </rPr>
      <t xml:space="preserve">凡例：（</t>
    </r>
    <r>
      <rPr>
        <sz val="8"/>
        <color rgb="FF595959"/>
        <rFont val="Meiryo UI"/>
        <family val="0"/>
        <charset val="1"/>
      </rPr>
      <t xml:space="preserve">P</t>
    </r>
    <r>
      <rPr>
        <sz val="8"/>
        <color rgb="FF595959"/>
        <rFont val="Noto Sans CJK SC"/>
        <family val="2"/>
      </rPr>
      <t xml:space="preserve">）＝パートナー要員　／　【 】内は</t>
    </r>
    <r>
      <rPr>
        <sz val="8"/>
        <color rgb="FF595959"/>
        <rFont val="Meiryo UI"/>
        <family val="0"/>
        <charset val="1"/>
      </rPr>
      <t xml:space="preserve">WBS</t>
    </r>
    <r>
      <rPr>
        <sz val="8"/>
        <color rgb="FF595959"/>
        <rFont val="Noto Sans CJK SC"/>
        <family val="2"/>
      </rPr>
      <t xml:space="preserve">担当欄の名称　／　橙＝</t>
    </r>
    <r>
      <rPr>
        <sz val="8"/>
        <color rgb="FF595959"/>
        <rFont val="Meiryo UI"/>
        <family val="0"/>
        <charset val="1"/>
      </rPr>
      <t xml:space="preserve">B</t>
    </r>
    <r>
      <rPr>
        <sz val="8"/>
        <color rgb="FF595959"/>
        <rFont val="Noto Sans CJK SC"/>
        <family val="2"/>
      </rPr>
      <t xml:space="preserve">社・青＝当社・緑＝既存ベンダー　／　既存ベンダーは</t>
    </r>
    <r>
      <rPr>
        <sz val="8"/>
        <color rgb="FF595959"/>
        <rFont val="Meiryo UI"/>
        <family val="0"/>
        <charset val="1"/>
      </rPr>
      <t xml:space="preserve">B</t>
    </r>
    <r>
      <rPr>
        <sz val="8"/>
        <color rgb="FF595959"/>
        <rFont val="Noto Sans CJK SC"/>
        <family val="2"/>
      </rPr>
      <t xml:space="preserve">社と契約（当社は直接契約しない）</t>
    </r>
  </si>
  <si>
    <t xml:space="preserve">会議体</t>
  </si>
  <si>
    <t xml:space="preserve">名称</t>
  </si>
  <si>
    <t xml:space="preserve">目的</t>
  </si>
  <si>
    <t xml:space="preserve">頻度</t>
  </si>
  <si>
    <t xml:space="preserve">参加者</t>
  </si>
  <si>
    <r>
      <rPr>
        <sz val="8"/>
        <color rgb="FF000000"/>
        <rFont val="Noto Sans CJK SC"/>
        <family val="2"/>
      </rPr>
      <t xml:space="preserve">進捗・予算・リスクの報告、フェーズゲート（</t>
    </r>
    <r>
      <rPr>
        <sz val="8"/>
        <color rgb="FF000000"/>
        <rFont val="Meiryo UI"/>
        <family val="0"/>
        <charset val="1"/>
      </rPr>
      <t xml:space="preserve">G1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G6</t>
    </r>
    <r>
      <rPr>
        <sz val="8"/>
        <color rgb="FF000000"/>
        <rFont val="Noto Sans CJK SC"/>
        <family val="2"/>
      </rPr>
      <t xml:space="preserve">）判定、スコープ変更・予備費執行の決裁</t>
    </r>
  </si>
  <si>
    <t xml:space="preserve">月次＋フェーズゲート時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</si>
  <si>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PO</t>
    </r>
    <r>
      <rPr>
        <sz val="8"/>
        <color rgb="FF000000"/>
        <rFont val="Noto Sans CJK SC"/>
        <family val="2"/>
      </rPr>
      <t xml:space="preserve">（議長）・ユーザー部門長・情シス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事業部長・</t>
    </r>
    <r>
      <rPr>
        <sz val="8"/>
        <color rgb="FF000000"/>
        <rFont val="Meiryo UI"/>
        <family val="0"/>
        <charset val="1"/>
      </rPr>
      <t xml:space="preserve">PM</t>
    </r>
  </si>
  <si>
    <t xml:space="preserve">定例進捗会議</t>
  </si>
  <si>
    <r>
      <rPr>
        <sz val="8"/>
        <color rgb="FF000000"/>
        <rFont val="Noto Sans CJK SC"/>
        <family val="2"/>
      </rPr>
      <t xml:space="preserve">進捗・課題・リスクの共有と対応決定、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社への依頼事項・期限の確認</t>
    </r>
  </si>
  <si>
    <t xml:space="preserve">週次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</si>
  <si>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・各チームリーダー（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は議題に応じて）</t>
    </r>
  </si>
  <si>
    <t xml:space="preserve">要件・仕様確認会</t>
  </si>
  <si>
    <r>
      <rPr>
        <sz val="8"/>
        <color rgb="FF000000"/>
        <rFont val="Noto Sans CJK SC"/>
        <family val="2"/>
      </rPr>
      <t xml:space="preserve">業務要件の決定、画面・帳票イメージの確認、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計画・結果の確認（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の決定事項を記録）</t>
    </r>
  </si>
  <si>
    <r>
      <rPr>
        <sz val="8"/>
        <color rgb="FF000000"/>
        <rFont val="Noto Sans CJK SC"/>
        <family val="2"/>
      </rPr>
      <t xml:space="preserve">要件定義期：週</t>
    </r>
    <r>
      <rPr>
        <sz val="8"/>
        <color rgb="FF000000"/>
        <rFont val="Meiryo UI"/>
        <family val="0"/>
        <charset val="1"/>
      </rPr>
      <t xml:space="preserve">2</t>
    </r>
    <r>
      <rPr>
        <sz val="8"/>
        <color rgb="FF000000"/>
        <rFont val="Noto Sans CJK SC"/>
        <family val="2"/>
      </rPr>
      <t xml:space="preserve">回
設計期：週次／以降：隔週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</si>
  <si>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（営業・経理）・情シス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業務チーム・</t>
    </r>
    <r>
      <rPr>
        <sz val="8"/>
        <color rgb="FF000000"/>
        <rFont val="Meiryo UI"/>
        <family val="0"/>
        <charset val="1"/>
      </rPr>
      <t xml:space="preserve">PM</t>
    </r>
  </si>
  <si>
    <t xml:space="preserve">技術レビュー会</t>
  </si>
  <si>
    <t xml:space="preserve">アーキテクチャ・セキュリティ・運用設計のレビュー、情シス規程への適合確認</t>
  </si>
  <si>
    <t xml:space="preserve">設計期：隔週
以降：随時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</si>
  <si>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基盤チーム（アーキテクト）・開発リーダー</t>
    </r>
  </si>
  <si>
    <t xml:space="preserve">三者連絡会</t>
  </si>
  <si>
    <t xml:space="preserve">現行仕様照会の回答管理、データ抽出・切替・旧環境停止の調整（依頼は情シス経由で一本化）</t>
  </si>
  <si>
    <r>
      <rPr>
        <sz val="8"/>
        <color rgb="FF000000"/>
        <rFont val="Noto Sans CJK SC"/>
        <family val="2"/>
      </rPr>
      <t xml:space="preserve">隔週
（移行期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</t>
    </r>
    <r>
      <rPr>
        <sz val="8"/>
        <color rgb="FF000000"/>
        <rFont val="Noto Sans CJK SC"/>
        <family val="2"/>
      </rPr>
      <t xml:space="preserve">は週次）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</si>
  <si>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推進／既存ベンダー窓口／当社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・基盤チーム・移行チーム</t>
    </r>
  </si>
  <si>
    <r>
      <rPr>
        <sz val="8"/>
        <color rgb="FF000000"/>
        <rFont val="Noto Sans CJK SC"/>
        <family val="2"/>
      </rPr>
      <t xml:space="preserve">移行判定会（</t>
    </r>
    <r>
      <rPr>
        <sz val="8"/>
        <color rgb="FF000000"/>
        <rFont val="Meiryo UI"/>
        <family val="0"/>
        <charset val="1"/>
      </rPr>
      <t xml:space="preserve">Go/No-Go</t>
    </r>
    <r>
      <rPr>
        <sz val="8"/>
        <color rgb="FF000000"/>
        <rFont val="Noto Sans CJK SC"/>
        <family val="2"/>
      </rPr>
      <t xml:space="preserve">）</t>
    </r>
  </si>
  <si>
    <t xml:space="preserve">移行リハーサル結果・品質評価に基づく本番移行可否の判定、切り戻し条件の確認</t>
  </si>
  <si>
    <r>
      <rPr>
        <sz val="8"/>
        <color rgb="FF000000"/>
        <rFont val="Noto Sans CJK SC"/>
        <family val="2"/>
      </rPr>
      <t xml:space="preserve">リハーサル②後・本番前（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</t>
    </r>
    <r>
      <rPr>
        <sz val="8"/>
        <color rgb="FF000000"/>
        <rFont val="Noto Sans CJK SC"/>
        <family val="2"/>
      </rPr>
      <t xml:space="preserve">）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</si>
  <si>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PO</t>
    </r>
    <r>
      <rPr>
        <sz val="8"/>
        <color rgb="FF000000"/>
        <rFont val="Noto Sans CJK SC"/>
        <family val="2"/>
      </rPr>
      <t xml:space="preserve">・ユーザー部門長・情シス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推進／既存ベンダー窓口／当社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・全チームリーダー</t>
    </r>
  </si>
  <si>
    <t xml:space="preserve">社内プロジェクトレビュー</t>
  </si>
  <si>
    <t xml:space="preserve">当社品質保証部門による第三者チェック（計画妥当性・品質・予算）</t>
  </si>
  <si>
    <t xml:space="preserve">月次＋フェーズゲート前</t>
  </si>
  <si>
    <r>
      <rPr>
        <sz val="8"/>
        <color rgb="FF000000"/>
        <rFont val="Noto Sans CJK SC"/>
        <family val="2"/>
      </rPr>
      <t xml:space="preserve">当社 事業部長・品質保証部門・</t>
    </r>
    <r>
      <rPr>
        <sz val="8"/>
        <color rgb="FF000000"/>
        <rFont val="Meiryo UI"/>
        <family val="0"/>
        <charset val="1"/>
      </rPr>
      <t xml:space="preserve">PM</t>
    </r>
  </si>
  <si>
    <t xml:space="preserve">チーム内朝会</t>
  </si>
  <si>
    <t xml:space="preserve">タスク進捗・ブロッカーの共有</t>
  </si>
  <si>
    <r>
      <rPr>
        <sz val="8"/>
        <color rgb="FF000000"/>
        <rFont val="Noto Sans CJK SC"/>
        <family val="2"/>
      </rPr>
      <t xml:space="preserve">毎日（</t>
    </r>
    <r>
      <rPr>
        <sz val="8"/>
        <color rgb="FF000000"/>
        <rFont val="Meiryo UI"/>
        <family val="0"/>
        <charset val="1"/>
      </rPr>
      <t xml:space="preserve">15</t>
    </r>
    <r>
      <rPr>
        <sz val="8"/>
        <color rgb="FF000000"/>
        <rFont val="Noto Sans CJK SC"/>
        <family val="2"/>
      </rPr>
      <t xml:space="preserve">分）</t>
    </r>
  </si>
  <si>
    <t xml:space="preserve">当社メンバー全員</t>
  </si>
  <si>
    <t xml:space="preserve">体制設計のポイント</t>
  </si>
  <si>
    <r>
      <rPr>
        <sz val="9"/>
        <color rgb="FF000000"/>
        <rFont val="Noto Sans CJK SC"/>
        <family val="2"/>
      </rPr>
      <t xml:space="preserve">・要所（</t>
    </r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・業務リード・アーキテクト・開発リーダー）の</t>
    </r>
    <r>
      <rPr>
        <sz val="9"/>
        <color rgb="FF000000"/>
        <rFont val="Meiryo UI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名を社員とし、意思決定・顧客接点・品質の要を自社で押さえる。パートナーは実装・基盤構築・テスト・移行に配置（人数・人月・各月のいずれでも</t>
    </r>
    <r>
      <rPr>
        <sz val="9"/>
        <color rgb="FF000000"/>
        <rFont val="Meiryo UI"/>
        <family val="0"/>
        <charset val="1"/>
      </rPr>
      <t xml:space="preserve">60%</t>
    </r>
    <r>
      <rPr>
        <sz val="9"/>
        <color rgb="FF000000"/>
        <rFont val="Noto Sans CJK SC"/>
        <family val="2"/>
      </rPr>
      <t xml:space="preserve">以内）。</t>
    </r>
  </si>
  <si>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社との窓口は情シス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推進担当に一本化。要件決定は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（部門長任命・要件定義権限あり）、予算・スコープの最終決裁は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と、決裁ルートを明確化して手戻りを防ぐ。</t>
    </r>
  </si>
  <si>
    <r>
      <rPr>
        <sz val="9"/>
        <color rgb="FF000000"/>
        <rFont val="Noto Sans CJK SC"/>
        <family val="2"/>
      </rPr>
      <t xml:space="preserve">・既存ベンダーはリプレースされる側で協力が得にくいため、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社経由で協力範囲を契約化し、三者連絡会で照会・依頼事項を期限付きで管理する。旧環境運用〜停止までの役割を持たせ、最後まで関与を維持する。</t>
    </r>
  </si>
  <si>
    <r>
      <rPr>
        <sz val="9"/>
        <color rgb="FF000000"/>
        <rFont val="Noto Sans CJK SC"/>
        <family val="2"/>
      </rPr>
      <t xml:space="preserve">・運用の受け手は情シス。</t>
    </r>
    <r>
      <rPr>
        <sz val="9"/>
        <color rgb="FF000000"/>
        <rFont val="Meiryo UI"/>
        <family val="0"/>
        <charset val="1"/>
      </rPr>
      <t xml:space="preserve">M10</t>
    </r>
    <r>
      <rPr>
        <sz val="9"/>
        <color rgb="FF000000"/>
        <rFont val="Noto Sans CJK SC"/>
        <family val="2"/>
      </rPr>
      <t xml:space="preserve">から運用設計・引継ぎを並行し、</t>
    </r>
    <r>
      <rPr>
        <sz val="9"/>
        <color rgb="FF000000"/>
        <rFont val="Meiryo UI"/>
        <family val="0"/>
        <charset val="1"/>
      </rPr>
      <t xml:space="preserve">M12</t>
    </r>
    <r>
      <rPr>
        <sz val="9"/>
        <color rgb="FF000000"/>
        <rFont val="Noto Sans CJK SC"/>
        <family val="2"/>
      </rPr>
      <t xml:space="preserve">のハイパーケア中に受入を完了させる。</t>
    </r>
  </si>
  <si>
    <t xml:space="preserve">③ フェーズ別要員計画（チーム別山積み表）</t>
  </si>
  <si>
    <r>
      <rPr>
        <sz val="9"/>
        <color rgb="FF595959"/>
        <rFont val="Noto Sans CJK SC"/>
        <family val="2"/>
      </rPr>
      <t xml:space="preserve">単位：人（各月の要員数。</t>
    </r>
    <r>
      <rPr>
        <sz val="9"/>
        <color rgb="FF595959"/>
        <rFont val="Meiryo UI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＝半月稼働）　※パートナーは（</t>
    </r>
    <r>
      <rPr>
        <sz val="9"/>
        <color rgb="FF595959"/>
        <rFont val="Meiryo UI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）</t>
    </r>
  </si>
  <si>
    <t xml:space="preserve">■ チーム別山積み表</t>
  </si>
  <si>
    <t xml:space="preserve">チーム</t>
  </si>
  <si>
    <t xml:space="preserve">合計人月</t>
  </si>
  <si>
    <r>
      <rPr>
        <b val="true"/>
        <sz val="10"/>
        <color rgb="FFFFFFFF"/>
        <rFont val="Noto Sans CJK SC"/>
        <family val="2"/>
      </rPr>
      <t xml:space="preserve">金額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</si>
  <si>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主なフェーズ</t>
  </si>
  <si>
    <t xml:space="preserve">立上げ
要件定義</t>
  </si>
  <si>
    <t xml:space="preserve">要件定義
基盤設計</t>
  </si>
  <si>
    <r>
      <rPr>
        <sz val="7"/>
        <color rgb="FF000000"/>
        <rFont val="Noto Sans CJK SC"/>
        <family val="2"/>
      </rPr>
      <t xml:space="preserve">設計
</t>
    </r>
    <r>
      <rPr>
        <sz val="7"/>
        <color rgb="FF000000"/>
        <rFont val="Meiryo UI"/>
        <family val="0"/>
        <charset val="1"/>
      </rPr>
      <t xml:space="preserve">PoC</t>
    </r>
  </si>
  <si>
    <t xml:space="preserve">設計
環境構築</t>
  </si>
  <si>
    <t xml:space="preserve">開発
移行設計</t>
  </si>
  <si>
    <t xml:space="preserve">開発
テスト計画</t>
  </si>
  <si>
    <t xml:space="preserve">開発
結合テスト</t>
  </si>
  <si>
    <r>
      <rPr>
        <sz val="7"/>
        <color rgb="FF000000"/>
        <rFont val="Meiryo UI"/>
        <family val="0"/>
        <charset val="1"/>
      </rPr>
      <t xml:space="preserve">ST
</t>
    </r>
    <r>
      <rPr>
        <sz val="7"/>
        <color rgb="FF000000"/>
        <rFont val="Noto Sans CJK SC"/>
        <family val="2"/>
      </rPr>
      <t xml:space="preserve">リハ①</t>
    </r>
  </si>
  <si>
    <r>
      <rPr>
        <sz val="7"/>
        <color rgb="FF000000"/>
        <rFont val="Meiryo UI"/>
        <family val="0"/>
        <charset val="1"/>
      </rPr>
      <t xml:space="preserve">UAT
</t>
    </r>
    <r>
      <rPr>
        <sz val="7"/>
        <color rgb="FF000000"/>
        <rFont val="Noto Sans CJK SC"/>
        <family val="2"/>
      </rPr>
      <t xml:space="preserve">リハ②</t>
    </r>
  </si>
  <si>
    <t xml:space="preserve">本番移行
リリース</t>
  </si>
  <si>
    <t xml:space="preserve">定着
クローズ</t>
  </si>
  <si>
    <r>
      <rPr>
        <sz val="11"/>
        <color theme="1"/>
        <rFont val="Meiryo UI"/>
        <family val="0"/>
        <charset val="1"/>
      </rPr>
      <t xml:space="preserve">PM</t>
    </r>
    <r>
      <rPr>
        <sz val="11"/>
        <color theme="1"/>
        <rFont val="Noto Sans CJK SC"/>
        <family val="2"/>
      </rPr>
      <t xml:space="preserve">チーム</t>
    </r>
  </si>
  <si>
    <t xml:space="preserve">合計（人）</t>
  </si>
  <si>
    <t xml:space="preserve">　うち社員</t>
  </si>
  <si>
    <r>
      <rPr>
        <sz val="10"/>
        <color rgb="FF000000"/>
        <rFont val="Noto Sans CJK SC"/>
        <family val="2"/>
      </rPr>
      <t xml:space="preserve">　うちパートナー（</t>
    </r>
    <r>
      <rPr>
        <sz val="10"/>
        <color rgb="FF000000"/>
        <rFont val="Meiryo UI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）</t>
    </r>
  </si>
  <si>
    <t xml:space="preserve">パートナー比率（月別）</t>
  </si>
  <si>
    <t xml:space="preserve">■ 要員明細（役割別）</t>
  </si>
  <si>
    <t xml:space="preserve">役割</t>
  </si>
  <si>
    <t xml:space="preserve">区分</t>
  </si>
  <si>
    <t xml:space="preserve">PM</t>
  </si>
  <si>
    <t xml:space="preserve">社員</t>
  </si>
  <si>
    <t xml:space="preserve">業務リード</t>
  </si>
  <si>
    <r>
      <rPr>
        <sz val="11"/>
        <color theme="1"/>
        <rFont val="Noto Sans CJK SC"/>
        <family val="2"/>
      </rPr>
      <t xml:space="preserve">業務</t>
    </r>
    <r>
      <rPr>
        <sz val="11"/>
        <color theme="1"/>
        <rFont val="Meiryo UI"/>
        <family val="0"/>
        <charset val="1"/>
      </rPr>
      <t xml:space="preserve">SE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Meiryo UI"/>
        <family val="0"/>
        <charset val="1"/>
      </rPr>
      <t xml:space="preserve">P</t>
    </r>
    <r>
      <rPr>
        <sz val="11"/>
        <color theme="1"/>
        <rFont val="Noto Sans CJK SC"/>
        <family val="2"/>
      </rPr>
      <t xml:space="preserve">）</t>
    </r>
  </si>
  <si>
    <t xml:space="preserve">パートナー</t>
  </si>
  <si>
    <t xml:space="preserve">アーキテクト（基盤リード）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</si>
  <si>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エンジニア（</t>
    </r>
    <r>
      <rPr>
        <sz val="11"/>
        <color theme="1"/>
        <rFont val="Meiryo UI"/>
        <family val="0"/>
        <charset val="1"/>
      </rPr>
      <t xml:space="preserve">P</t>
    </r>
    <r>
      <rPr>
        <sz val="11"/>
        <color theme="1"/>
        <rFont val="Noto Sans CJK SC"/>
        <family val="2"/>
      </rPr>
      <t xml:space="preserve">）</t>
    </r>
  </si>
  <si>
    <t xml:space="preserve">開発リーダー</t>
  </si>
  <si>
    <r>
      <rPr>
        <sz val="11"/>
        <color theme="1"/>
        <rFont val="Noto Sans CJK SC"/>
        <family val="2"/>
      </rPr>
      <t xml:space="preserve">開発メンバー（販売管理）（</t>
    </r>
    <r>
      <rPr>
        <sz val="11"/>
        <color theme="1"/>
        <rFont val="Meiryo UI"/>
        <family val="0"/>
        <charset val="1"/>
      </rPr>
      <t xml:space="preserve">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</si>
  <si>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開発メンバー（在庫管理）（</t>
    </r>
    <r>
      <rPr>
        <sz val="11"/>
        <color theme="1"/>
        <rFont val="Meiryo UI"/>
        <family val="0"/>
        <charset val="1"/>
      </rPr>
      <t xml:space="preserve">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</si>
  <si>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テスト担当（</t>
    </r>
    <r>
      <rPr>
        <sz val="11"/>
        <color theme="1"/>
        <rFont val="Meiryo UI"/>
        <family val="0"/>
        <charset val="1"/>
      </rPr>
      <t xml:space="preserve">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</si>
  <si>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移行担当（</t>
    </r>
    <r>
      <rPr>
        <sz val="11"/>
        <color theme="1"/>
        <rFont val="Meiryo UI"/>
        <family val="0"/>
        <charset val="1"/>
      </rPr>
      <t xml:space="preserve">P</t>
    </r>
    <r>
      <rPr>
        <sz val="11"/>
        <color theme="1"/>
        <rFont val="Noto Sans CJK SC"/>
        <family val="2"/>
      </rPr>
      <t xml:space="preserve">）</t>
    </r>
  </si>
  <si>
    <t xml:space="preserve">■ 集計・パートナー比率チェック</t>
  </si>
  <si>
    <t xml:space="preserve">項目</t>
  </si>
  <si>
    <t xml:space="preserve">合計</t>
  </si>
  <si>
    <r>
      <rPr>
        <b val="true"/>
        <sz val="10"/>
        <color rgb="FFFFFFFF"/>
        <rFont val="Noto Sans CJK SC"/>
        <family val="2"/>
      </rPr>
      <t xml:space="preserve">比率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判定</t>
    </r>
  </si>
  <si>
    <t xml:space="preserve">人数（名）</t>
  </si>
  <si>
    <t xml:space="preserve">人月</t>
  </si>
  <si>
    <t xml:space="preserve">金額（万円）</t>
  </si>
  <si>
    <t xml:space="preserve">月別パートナー比率の最大</t>
  </si>
  <si>
    <r>
      <rPr>
        <sz val="11"/>
        <color theme="1"/>
        <rFont val="Noto Sans CJK SC"/>
        <family val="2"/>
      </rPr>
      <t xml:space="preserve">上限</t>
    </r>
    <r>
      <rPr>
        <sz val="11"/>
        <color theme="1"/>
        <rFont val="Meiryo UI"/>
        <family val="0"/>
        <charset val="1"/>
      </rPr>
      <t xml:space="preserve">60%</t>
    </r>
    <r>
      <rPr>
        <sz val="11"/>
        <color theme="1"/>
        <rFont val="Noto Sans CJK SC"/>
        <family val="2"/>
      </rPr>
      <t xml:space="preserve">判定（人数・人月・月別）</t>
    </r>
  </si>
  <si>
    <r>
      <rPr>
        <b val="true"/>
        <sz val="11"/>
        <color rgb="FF000000"/>
        <rFont val="Meiryo UI"/>
        <family val="0"/>
        <charset val="1"/>
      </rPr>
      <t xml:space="preserve">■ WBS</t>
    </r>
    <r>
      <rPr>
        <b val="true"/>
        <sz val="11"/>
        <color rgb="FF000000"/>
        <rFont val="Noto Sans CJK SC"/>
        <family val="2"/>
      </rPr>
      <t xml:space="preserve">工数との整合（チーム別）</t>
    </r>
  </si>
  <si>
    <t xml:space="preserve">山積み人月</t>
  </si>
  <si>
    <r>
      <rPr>
        <b val="true"/>
        <sz val="10"/>
        <color rgb="FFFFFFFF"/>
        <rFont val="Meiryo UI"/>
        <family val="0"/>
        <charset val="1"/>
      </rPr>
      <t xml:space="preserve">WBS</t>
    </r>
    <r>
      <rPr>
        <b val="true"/>
        <sz val="10"/>
        <color rgb="FFFFFFFF"/>
        <rFont val="Noto Sans CJK SC"/>
        <family val="2"/>
      </rPr>
      <t xml:space="preserve">工数</t>
    </r>
  </si>
  <si>
    <t xml:space="preserve">差異</t>
  </si>
  <si>
    <t xml:space="preserve">判定</t>
  </si>
  <si>
    <t xml:space="preserve">主要リスクと対策</t>
  </si>
  <si>
    <t xml:space="preserve">No</t>
  </si>
  <si>
    <t xml:space="preserve">リスク</t>
  </si>
  <si>
    <t xml:space="preserve">影響</t>
  </si>
  <si>
    <t xml:space="preserve">発生可能性</t>
  </si>
  <si>
    <t xml:space="preserve">対策</t>
  </si>
  <si>
    <t xml:space="preserve">要件追加によるスコープ膨張・予算超過</t>
  </si>
  <si>
    <t xml:space="preserve">大</t>
  </si>
  <si>
    <t xml:space="preserve">高</t>
  </si>
  <si>
    <r>
      <rPr>
        <sz val="9"/>
        <color rgb="FF000000"/>
        <rFont val="Meiryo UI"/>
        <family val="0"/>
        <charset val="1"/>
      </rPr>
      <t xml:space="preserve">G1</t>
    </r>
    <r>
      <rPr>
        <sz val="9"/>
        <color rgb="FF000000"/>
        <rFont val="Noto Sans CJK SC"/>
        <family val="2"/>
      </rPr>
      <t xml:space="preserve">でフェーズ</t>
    </r>
    <r>
      <rPr>
        <sz val="9"/>
        <color rgb="FF000000"/>
        <rFont val="Meiryo UI"/>
        <family val="0"/>
        <charset val="1"/>
      </rPr>
      <t xml:space="preserve">1/2</t>
    </r>
    <r>
      <rPr>
        <sz val="9"/>
        <color rgb="FF000000"/>
        <rFont val="Noto Sans CJK SC"/>
        <family val="2"/>
      </rPr>
      <t xml:space="preserve">のスコープを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決裁で確定。以降の追加は変更管理票＋ステコミ承認。予備費は承認制で執行。</t>
    </r>
  </si>
  <si>
    <t xml:space="preserve">現行仕様のブラックボックス化</t>
  </si>
  <si>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M2</t>
    </r>
    <r>
      <rPr>
        <sz val="9"/>
        <color rgb="FF000000"/>
        <rFont val="Noto Sans CJK SC"/>
        <family val="2"/>
      </rPr>
      <t xml:space="preserve">に既存ベンダー協力で資産調査を前倒し。照会は三者連絡会で期限付き管理。</t>
    </r>
  </si>
  <si>
    <t xml:space="preserve">既存ベンダーの協力不足（リプレースされる側）</t>
  </si>
  <si>
    <t xml:space="preserve">中</t>
  </si>
  <si>
    <r>
      <rPr>
        <sz val="9"/>
        <color rgb="FF000000"/>
        <rFont val="Noto Sans CJK SC"/>
        <family val="2"/>
      </rPr>
      <t xml:space="preserve">協力範囲を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社経由で契約化（</t>
    </r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）。旧環境運用〜停止まで役割を明確にし関与を維持。</t>
    </r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</si>
  <si>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の要件決定遅延・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工数不足</t>
    </r>
  </si>
  <si>
    <r>
      <rPr>
        <sz val="9"/>
        <color rgb="FF000000"/>
        <rFont val="Noto Sans CJK SC"/>
        <family val="2"/>
      </rPr>
      <t xml:space="preserve">部門長による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任命と要件定義権限の明文化。決定期限を設定し、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工数を</t>
    </r>
    <r>
      <rPr>
        <sz val="9"/>
        <color rgb="FF000000"/>
        <rFont val="Meiryo UI"/>
        <family val="0"/>
        <charset val="1"/>
      </rPr>
      <t xml:space="preserve">M7</t>
    </r>
    <r>
      <rPr>
        <sz val="9"/>
        <color rgb="FF000000"/>
        <rFont val="Noto Sans CJK SC"/>
        <family val="2"/>
      </rPr>
      <t xml:space="preserve">までに部門長と合意。</t>
    </r>
  </si>
  <si>
    <t xml:space="preserve">データ品質不良による移行失敗</t>
  </si>
  <si>
    <r>
      <rPr>
        <sz val="9"/>
        <color rgb="FF000000"/>
        <rFont val="Meiryo UI"/>
        <family val="0"/>
        <charset val="1"/>
      </rPr>
      <t xml:space="preserve">M6</t>
    </r>
    <r>
      <rPr>
        <sz val="9"/>
        <color rgb="FF000000"/>
        <rFont val="Noto Sans CJK SC"/>
        <family val="2"/>
      </rPr>
      <t xml:space="preserve">からクレンジング開始、不備データは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が業務判断。本番想定リハーサルを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回実施。</t>
    </r>
  </si>
  <si>
    <t xml:space="preserve">切替時期が月末締め・決算期と重なる</t>
  </si>
  <si>
    <r>
      <rPr>
        <sz val="9"/>
        <color rgb="FF000000"/>
        <rFont val="Noto Sans CJK SC"/>
        <family val="2"/>
      </rPr>
      <t xml:space="preserve">締め・決算を避けた切替日を要件定義で確定。切り戻し手順と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基準を事前合意。</t>
    </r>
  </si>
  <si>
    <r>
      <rPr>
        <sz val="9"/>
        <color rgb="FF000000"/>
        <rFont val="Noto Sans CJK SC"/>
        <family val="2"/>
      </rPr>
      <t xml:space="preserve">新アーキ</t>
    </r>
    <r>
      <rPr>
        <sz val="9"/>
        <color rgb="FF000000"/>
        <rFont val="Meiryo UI"/>
        <family val="0"/>
        <charset val="1"/>
      </rPr>
      <t xml:space="preserve">/AWS</t>
    </r>
    <r>
      <rPr>
        <sz val="9"/>
        <color rgb="FF000000"/>
        <rFont val="Noto Sans CJK SC"/>
        <family val="2"/>
      </rPr>
      <t xml:space="preserve">の技術リスク・キーマン依存</t>
    </r>
  </si>
  <si>
    <r>
      <rPr>
        <sz val="9"/>
        <color rgb="FF000000"/>
        <rFont val="Meiryo UI"/>
        <family val="0"/>
        <charset val="1"/>
      </rPr>
      <t xml:space="preserve">M3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M4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で技術リスクを先に潰す。設計書・レビュー記録で知識を共有。</t>
    </r>
  </si>
  <si>
    <t xml:space="preserve">情シスのセキュリティ規程に不適合</t>
  </si>
  <si>
    <t xml:space="preserve">低</t>
  </si>
  <si>
    <r>
      <rPr>
        <sz val="9"/>
        <color rgb="FF000000"/>
        <rFont val="Meiryo UI"/>
        <family val="0"/>
        <charset val="1"/>
      </rPr>
      <t xml:space="preserve">M3</t>
    </r>
    <r>
      <rPr>
        <sz val="9"/>
        <color rgb="FF000000"/>
        <rFont val="Noto Sans CJK SC"/>
        <family val="2"/>
      </rPr>
      <t xml:space="preserve">にセキュリティ設計を情シス承認。技術レビュー会で継続確認。</t>
    </r>
  </si>
  <si>
    <t xml:space="preserve">運用引継ぎ不足による稼働後の混乱</t>
  </si>
  <si>
    <r>
      <rPr>
        <sz val="9"/>
        <color rgb="FF000000"/>
        <rFont val="Meiryo UI"/>
        <family val="0"/>
        <charset val="1"/>
      </rPr>
      <t xml:space="preserve">M10</t>
    </r>
    <r>
      <rPr>
        <sz val="9"/>
        <color rgb="FF000000"/>
        <rFont val="Noto Sans CJK SC"/>
        <family val="2"/>
      </rPr>
      <t xml:space="preserve">から運用設計・引継ぎを並行。</t>
    </r>
    <r>
      <rPr>
        <sz val="9"/>
        <color rgb="FF000000"/>
        <rFont val="Meiryo UI"/>
        <family val="0"/>
        <charset val="1"/>
      </rPr>
      <t xml:space="preserve">M12</t>
    </r>
    <r>
      <rPr>
        <sz val="9"/>
        <color rgb="FF000000"/>
        <rFont val="Noto Sans CJK SC"/>
        <family val="2"/>
      </rPr>
      <t xml:space="preserve">ハイパーケア中に情シスの受入を完了。</t>
    </r>
  </si>
  <si>
    <t xml:space="preserve">ステークホルダー分析</t>
  </si>
  <si>
    <t xml:space="preserve">関係者</t>
  </si>
  <si>
    <t xml:space="preserve">関心事</t>
  </si>
  <si>
    <t xml:space="preserve">懸念・抵抗</t>
  </si>
  <si>
    <t xml:space="preserve">関与方法</t>
  </si>
  <si>
    <t xml:space="preserve">当社窓口</t>
  </si>
  <si>
    <t xml:space="preserve">投資対効果・期限・予算</t>
  </si>
  <si>
    <t xml:space="preserve">予算超過・業務停止</t>
  </si>
  <si>
    <t xml:space="preserve">月次ステコミで進捗・予算・リスクを報告し、ゲート判定・スコープ決裁を仰ぐ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</si>
  <si>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推進（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名）</t>
    </r>
  </si>
  <si>
    <t xml:space="preserve">運用性・セキュリティ・社内調整負荷</t>
  </si>
  <si>
    <t xml:space="preserve">運用負荷増・規程違反・窓口業務の集中</t>
  </si>
  <si>
    <t xml:space="preserve">唯一の公式窓口として週次定例で連携。技術レビュー会で設計承認、運用引継ぎを計画的に実施</t>
  </si>
  <si>
    <t xml:space="preserve">業務影響・部門リソース</t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</si>
  <si>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要員の拘束</t>
    </r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</si>
  <si>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任命と要件定義権限の付与を依頼。ステコミ・受入判定で関与</t>
    </r>
  </si>
  <si>
    <t xml:space="preserve">使いやすさ・締め処理の正確性</t>
  </si>
  <si>
    <t xml:space="preserve">操作変更への抵抗・通常業務との両立</t>
  </si>
  <si>
    <r>
      <rPr>
        <sz val="9"/>
        <color rgb="FF000000"/>
        <rFont val="Noto Sans CJK SC"/>
        <family val="2"/>
      </rPr>
      <t xml:space="preserve">要件・仕様確認会で決定を記録。繁忙期を避けた日程、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・社内展開を支援</t>
    </r>
  </si>
  <si>
    <t xml:space="preserve">保守契約の継続・終了条件</t>
  </si>
  <si>
    <t xml:space="preserve">仕事を失う立場で協力に消極的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</si>
  <si>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社経由で協力範囲を契約化。三者連絡会で照会・依頼を期限付き管理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</si>
</sst>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%"/>
    <numFmt numFmtId="168" formatCode="0.0"/>
    <numFmt numFmtId="169" formatCode="@"/>
    <numFmt numFmtId="170" formatCode="0.0;\-0.0;&quot;&quot;"/>
    <numFmt numFmtId="171" formatCode="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Meiryo UI"/>
      <family val="0"/>
      <charset val="1"/>
    </font>
    <font>
      <b val="true"/>
      <sz val="14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sz val="11"/>
      <color theme="1"/>
      <name val="Noto Sans CJK SC"/>
      <family val="2"/>
    </font>
    <font>
      <sz val="10"/>
      <color rgb="FF0000FF"/>
      <name val="Meiryo UI"/>
      <family val="0"/>
      <charset val="1"/>
    </font>
    <font>
      <sz val="11"/>
      <color theme="1"/>
      <name val="Meiryo UI"/>
      <family val="0"/>
      <charset val="1"/>
    </font>
    <font>
      <sz val="10"/>
      <color rgb="FF008000"/>
      <name val="Meiryo UI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eiryo UI"/>
      <family val="0"/>
      <charset val="1"/>
    </font>
    <font>
      <sz val="9"/>
      <color rgb="FF000000"/>
      <name val="Noto Sans CJK SC"/>
      <family val="2"/>
    </font>
    <font>
      <sz val="9"/>
      <color rgb="FF000000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sz val="8"/>
      <color rgb="FF000000"/>
      <name val="Noto Sans CJK SC"/>
      <family val="2"/>
    </font>
    <font>
      <b val="true"/>
      <sz val="12"/>
      <color rgb="FFC00000"/>
      <name val="Meiryo UI"/>
      <family val="0"/>
      <charset val="1"/>
    </font>
    <font>
      <sz val="9"/>
      <color rgb="FF0000FF"/>
      <name val="Meiryo UI"/>
      <family val="0"/>
      <charset val="1"/>
    </font>
    <font>
      <sz val="10"/>
      <color rgb="FFFFFFFF"/>
      <name val="Meiryo UI"/>
      <family val="0"/>
      <charset val="1"/>
    </font>
    <font>
      <sz val="10"/>
      <color rgb="FF000000"/>
      <name val="Meiryo UI"/>
      <family val="0"/>
      <charset val="1"/>
    </font>
    <font>
      <b val="true"/>
      <sz val="9"/>
      <color rgb="FFC00000"/>
      <name val="Noto Sans CJK SC"/>
      <family val="2"/>
    </font>
    <font>
      <b val="true"/>
      <sz val="9"/>
      <color rgb="FFC00000"/>
      <name val="Meiryo UI"/>
      <family val="0"/>
      <charset val="1"/>
    </font>
    <font>
      <sz val="10"/>
      <color rgb="FF00800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Meiryo UI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000000"/>
      <name val="Meiryo UI"/>
      <family val="0"/>
      <charset val="1"/>
    </font>
    <font>
      <sz val="8"/>
      <color rgb="FF595959"/>
      <name val="Noto Sans CJK SC"/>
      <family val="2"/>
    </font>
    <font>
      <sz val="8"/>
      <color rgb="FF595959"/>
      <name val="Meiryo UI"/>
      <family val="0"/>
      <charset val="1"/>
    </font>
    <font>
      <sz val="7"/>
      <color rgb="FF595959"/>
      <name val="Meiryo UI"/>
      <family val="0"/>
      <charset val="1"/>
    </font>
    <font>
      <sz val="7"/>
      <color rgb="FF595959"/>
      <name val="Noto Sans CJK SC"/>
      <family val="2"/>
    </font>
    <font>
      <sz val="8"/>
      <color rgb="FF000000"/>
      <name val="Meiryo UI"/>
      <family val="0"/>
      <charset val="1"/>
    </font>
    <font>
      <b val="true"/>
      <sz val="12"/>
      <color rgb="FF000000"/>
      <name val="Noto Sans CJK SC"/>
      <family val="2"/>
    </font>
    <font>
      <b val="true"/>
      <sz val="11"/>
      <color rgb="FF000000"/>
      <name val="Noto Sans CJK SC"/>
      <family val="2"/>
    </font>
    <font>
      <sz val="7"/>
      <color rgb="FF000000"/>
      <name val="Noto Sans CJK SC"/>
      <family val="2"/>
    </font>
    <font>
      <sz val="7"/>
      <color rgb="FF000000"/>
      <name val="Meiryo UI"/>
      <family val="0"/>
      <charset val="1"/>
    </font>
    <font>
      <sz val="10"/>
      <color rgb="FF000000"/>
      <name val="Noto Sans CJK SC"/>
      <family val="2"/>
    </font>
    <font>
      <b val="true"/>
      <sz val="10"/>
      <color rgb="FF008000"/>
      <name val="Meiryo UI"/>
      <family val="0"/>
      <charset val="1"/>
    </font>
    <font>
      <b val="true"/>
      <sz val="11"/>
      <color rgb="FF000000"/>
      <name val="Meiryo UI"/>
      <family val="0"/>
      <charset val="1"/>
    </font>
    <font>
      <b val="true"/>
      <sz val="13"/>
      <color rgb="FF000000"/>
      <name val="Noto Sans CJK SC"/>
      <family val="2"/>
    </font>
  </fonts>
  <fills count="1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969696"/>
      </patternFill>
    </fill>
    <fill>
      <patternFill patternType="solid">
        <fgColor rgb="FFF4B183"/>
        <bgColor rgb="FFFF99CC"/>
      </patternFill>
    </fill>
    <fill>
      <patternFill patternType="solid">
        <fgColor rgb="FFA9D08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C659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08E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10000</v>
      </c>
      <c r="C4" s="3" t="s">
        <v>5</v>
      </c>
    </row>
    <row r="5" customFormat="false" ht="17.15" hidden="false" customHeight="false" outlineLevel="0" collapsed="false">
      <c r="A5" s="3" t="s">
        <v>6</v>
      </c>
      <c r="B5" s="4" t="n">
        <v>150</v>
      </c>
      <c r="C5" s="3" t="s">
        <v>5</v>
      </c>
    </row>
    <row r="6" customFormat="false" ht="17.15" hidden="false" customHeight="false" outlineLevel="0" collapsed="false">
      <c r="A6" s="3" t="s">
        <v>7</v>
      </c>
      <c r="B6" s="4" t="n">
        <v>100</v>
      </c>
      <c r="C6" s="3" t="s">
        <v>5</v>
      </c>
    </row>
    <row r="7" customFormat="false" ht="15" hidden="false" customHeight="false" outlineLevel="0" collapsed="false">
      <c r="A7" s="3" t="s">
        <v>8</v>
      </c>
      <c r="B7" s="5" t="n">
        <v>0.6</v>
      </c>
      <c r="C7" s="3" t="s">
        <v>9</v>
      </c>
    </row>
    <row r="8" customFormat="false" ht="17.15" hidden="false" customHeight="false" outlineLevel="0" collapsed="false">
      <c r="A8" s="6" t="s">
        <v>10</v>
      </c>
      <c r="B8" s="4" t="n">
        <v>500</v>
      </c>
      <c r="C8" s="3" t="s">
        <v>11</v>
      </c>
    </row>
    <row r="10" customFormat="false" ht="15" hidden="false" customHeight="false" outlineLevel="0" collapsed="false">
      <c r="A10" s="2" t="s">
        <v>12</v>
      </c>
      <c r="B10" s="2" t="s">
        <v>2</v>
      </c>
      <c r="C10" s="2" t="s">
        <v>13</v>
      </c>
    </row>
    <row r="11" customFormat="false" ht="15" hidden="false" customHeight="false" outlineLevel="0" collapsed="false">
      <c r="A11" s="7" t="s">
        <v>14</v>
      </c>
      <c r="B11" s="8" t="n">
        <f aca="false">要員計画!B35</f>
        <v>5625</v>
      </c>
      <c r="C11" s="7" t="s">
        <v>15</v>
      </c>
    </row>
    <row r="12" customFormat="false" ht="15" hidden="false" customHeight="false" outlineLevel="0" collapsed="false">
      <c r="A12" s="7" t="s">
        <v>16</v>
      </c>
      <c r="B12" s="8" t="n">
        <f aca="false">要員計画!C35</f>
        <v>3200</v>
      </c>
      <c r="C12" s="7" t="s">
        <v>15</v>
      </c>
    </row>
    <row r="13" customFormat="false" ht="17.15" hidden="false" customHeight="false" outlineLevel="0" collapsed="false">
      <c r="A13" s="9" t="s">
        <v>17</v>
      </c>
      <c r="B13" s="10" t="n">
        <f aca="false">B8</f>
        <v>500</v>
      </c>
      <c r="C13" s="7"/>
    </row>
    <row r="14" customFormat="false" ht="15" hidden="false" customHeight="false" outlineLevel="0" collapsed="false">
      <c r="A14" s="7" t="s">
        <v>18</v>
      </c>
      <c r="B14" s="10" t="n">
        <f aca="false">B4-SUM(B11:B13)</f>
        <v>675</v>
      </c>
      <c r="C14" s="7" t="s">
        <v>19</v>
      </c>
    </row>
    <row r="15" customFormat="false" ht="15" hidden="false" customHeight="false" outlineLevel="0" collapsed="false">
      <c r="A15" s="11" t="s">
        <v>20</v>
      </c>
      <c r="B15" s="12" t="n">
        <f aca="false">SUM(B11:B14)</f>
        <v>10000</v>
      </c>
      <c r="C15" s="7" t="s">
        <v>21</v>
      </c>
    </row>
    <row r="16" customFormat="false" ht="17.15" hidden="false" customHeight="false" outlineLevel="0" collapsed="false">
      <c r="A16" s="7" t="s">
        <v>22</v>
      </c>
      <c r="B16" s="13" t="n">
        <f aca="false">B14/B4</f>
        <v>0.0675</v>
      </c>
      <c r="C16" s="7" t="s">
        <v>23</v>
      </c>
    </row>
    <row r="17" customFormat="false" ht="15" hidden="false" customHeight="false" outlineLevel="0" collapsed="false">
      <c r="A17" s="7" t="s">
        <v>24</v>
      </c>
      <c r="B17" s="14" t="n">
        <f aca="false">要員計画!D34</f>
        <v>69.5</v>
      </c>
      <c r="C17" s="7" t="s">
        <v>25</v>
      </c>
    </row>
    <row r="18" customFormat="false" ht="17.15" hidden="false" customHeight="false" outlineLevel="0" collapsed="false">
      <c r="A18" s="7" t="s">
        <v>26</v>
      </c>
      <c r="B18" s="15" t="n">
        <f aca="false">要員計画!E33</f>
        <v>0.6</v>
      </c>
      <c r="C18" s="7" t="s">
        <v>27</v>
      </c>
    </row>
    <row r="19" customFormat="false" ht="15" hidden="false" customHeight="false" outlineLevel="0" collapsed="false">
      <c r="A19" s="7" t="s">
        <v>28</v>
      </c>
      <c r="B19" s="15" t="n">
        <f aca="false">要員計画!E34</f>
        <v>0.460431654676259</v>
      </c>
      <c r="C19" s="7"/>
    </row>
    <row r="20" customFormat="false" ht="17.15" hidden="false" customHeight="false" outlineLevel="0" collapsed="false">
      <c r="A20" s="7" t="s">
        <v>29</v>
      </c>
      <c r="B20" s="15" t="n">
        <f aca="false">要員計画!E36</f>
        <v>0.6</v>
      </c>
      <c r="C20" s="7" t="s">
        <v>30</v>
      </c>
    </row>
    <row r="21" customFormat="false" ht="17.15" hidden="false" customHeight="false" outlineLevel="0" collapsed="false">
      <c r="A21" s="7" t="s">
        <v>31</v>
      </c>
      <c r="B21" s="16" t="str">
        <f aca="false">要員計画!E37</f>
        <v>OK</v>
      </c>
      <c r="C21" s="9" t="s">
        <v>32</v>
      </c>
    </row>
    <row r="23" customFormat="false" ht="15" hidden="false" customHeight="true" outlineLevel="0" collapsed="false">
      <c r="A23" s="2" t="s">
        <v>33</v>
      </c>
      <c r="B23" s="2"/>
      <c r="C23" s="2"/>
    </row>
    <row r="24" customFormat="false" ht="31.5" hidden="false" customHeight="true" outlineLevel="0" collapsed="false">
      <c r="A24" s="17" t="s">
        <v>34</v>
      </c>
      <c r="B24" s="17"/>
      <c r="C24" s="17"/>
    </row>
    <row r="25" customFormat="false" ht="31.5" hidden="false" customHeight="true" outlineLevel="0" collapsed="false">
      <c r="A25" s="17" t="s">
        <v>35</v>
      </c>
      <c r="B25" s="17"/>
      <c r="C25" s="17"/>
    </row>
    <row r="26" customFormat="false" ht="31.5" hidden="false" customHeight="true" outlineLevel="0" collapsed="false">
      <c r="A26" s="17" t="s">
        <v>36</v>
      </c>
      <c r="B26" s="17"/>
      <c r="C26" s="17"/>
    </row>
    <row r="27" customFormat="false" ht="31.5" hidden="false" customHeight="true" outlineLevel="0" collapsed="false">
      <c r="A27" s="17" t="s">
        <v>37</v>
      </c>
      <c r="B27" s="17"/>
      <c r="C27" s="17"/>
    </row>
    <row r="28" customFormat="false" ht="31.5" hidden="false" customHeight="true" outlineLevel="0" collapsed="false">
      <c r="A28" s="17" t="s">
        <v>38</v>
      </c>
      <c r="B28" s="17"/>
      <c r="C28" s="17"/>
    </row>
    <row r="29" customFormat="false" ht="31.5" hidden="false" customHeight="true" outlineLevel="0" collapsed="false">
      <c r="A29" s="17" t="s">
        <v>39</v>
      </c>
      <c r="B29" s="17"/>
      <c r="C29" s="17"/>
    </row>
    <row r="30" customFormat="false" ht="31.5" hidden="false" customHeight="true" outlineLevel="0" collapsed="false">
      <c r="A30" s="17" t="s">
        <v>40</v>
      </c>
      <c r="B30" s="17"/>
      <c r="C30" s="17"/>
    </row>
  </sheetData>
  <mergeCells count="8">
    <mergeCell ref="A23:C23"/>
    <mergeCell ref="A24:C24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6"/>
    <col collapsed="false" customWidth="true" hidden="false" outlineLevel="0" max="7" min="7" style="0" width="7"/>
    <col collapsed="false" customWidth="true" hidden="false" outlineLevel="0" max="19" min="8" style="0" width="4.8"/>
  </cols>
  <sheetData>
    <row r="1" customFormat="false" ht="21.6" hidden="false" customHeight="false" outlineLevel="0" collapsed="false">
      <c r="A1" s="1" t="s">
        <v>41</v>
      </c>
    </row>
    <row r="2" customFormat="false" ht="15" hidden="false" customHeight="false" outlineLevel="0" collapsed="false">
      <c r="B2" s="18" t="s">
        <v>42</v>
      </c>
      <c r="H2" s="19" t="s">
        <v>43</v>
      </c>
      <c r="I2" s="20" t="s">
        <v>44</v>
      </c>
      <c r="J2" s="20"/>
      <c r="K2" s="21" t="s">
        <v>43</v>
      </c>
      <c r="L2" s="20" t="s">
        <v>45</v>
      </c>
      <c r="M2" s="20"/>
      <c r="N2" s="22" t="s">
        <v>43</v>
      </c>
      <c r="O2" s="20" t="s">
        <v>46</v>
      </c>
      <c r="P2" s="20"/>
      <c r="Q2" s="23" t="s">
        <v>43</v>
      </c>
      <c r="R2" s="20" t="s">
        <v>47</v>
      </c>
      <c r="S2" s="20"/>
    </row>
    <row r="4" customFormat="false" ht="30" hidden="false" customHeight="true" outlineLevel="0" collapsed="false">
      <c r="A4" s="24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4" t="s">
        <v>55</v>
      </c>
      <c r="I4" s="24" t="s">
        <v>56</v>
      </c>
      <c r="J4" s="24" t="s">
        <v>57</v>
      </c>
      <c r="K4" s="24" t="s">
        <v>58</v>
      </c>
      <c r="L4" s="24" t="s">
        <v>59</v>
      </c>
      <c r="M4" s="24" t="s">
        <v>60</v>
      </c>
      <c r="N4" s="24" t="s">
        <v>61</v>
      </c>
      <c r="O4" s="24" t="s">
        <v>62</v>
      </c>
      <c r="P4" s="24" t="s">
        <v>63</v>
      </c>
      <c r="Q4" s="24" t="s">
        <v>64</v>
      </c>
      <c r="R4" s="24" t="s">
        <v>65</v>
      </c>
      <c r="S4" s="24" t="s">
        <v>66</v>
      </c>
    </row>
    <row r="5" customFormat="false" ht="15" hidden="false" customHeight="false" outlineLevel="0" collapsed="false">
      <c r="A5" s="25"/>
      <c r="B5" s="26" t="s">
        <v>67</v>
      </c>
      <c r="C5" s="25"/>
      <c r="D5" s="25"/>
      <c r="E5" s="25"/>
      <c r="F5" s="25"/>
      <c r="G5" s="25"/>
      <c r="H5" s="27" t="s">
        <v>68</v>
      </c>
      <c r="I5" s="25"/>
      <c r="J5" s="27" t="s">
        <v>68</v>
      </c>
      <c r="K5" s="25"/>
      <c r="L5" s="27" t="s">
        <v>68</v>
      </c>
      <c r="M5" s="25"/>
      <c r="N5" s="25"/>
      <c r="O5" s="27" t="s">
        <v>68</v>
      </c>
      <c r="P5" s="25"/>
      <c r="Q5" s="27" t="s">
        <v>68</v>
      </c>
      <c r="R5" s="27" t="s">
        <v>68</v>
      </c>
      <c r="S5" s="27" t="s">
        <v>68</v>
      </c>
    </row>
    <row r="6" customFormat="false" ht="15" hidden="false" customHeight="false" outlineLevel="0" collapsed="false">
      <c r="A6" s="28" t="s">
        <v>69</v>
      </c>
      <c r="B6" s="29" t="s">
        <v>70</v>
      </c>
      <c r="C6" s="29"/>
      <c r="D6" s="29"/>
      <c r="E6" s="29" t="n">
        <v>1</v>
      </c>
      <c r="F6" s="29" t="n">
        <v>12</v>
      </c>
      <c r="G6" s="29" t="n">
        <f aca="false">SUM(G7:G13)</f>
        <v>10</v>
      </c>
      <c r="H6" s="24" t="s">
        <v>43</v>
      </c>
      <c r="I6" s="24" t="s">
        <v>43</v>
      </c>
      <c r="J6" s="24" t="s">
        <v>43</v>
      </c>
      <c r="K6" s="24" t="s">
        <v>43</v>
      </c>
      <c r="L6" s="24" t="s">
        <v>43</v>
      </c>
      <c r="M6" s="24" t="s">
        <v>43</v>
      </c>
      <c r="N6" s="24" t="s">
        <v>43</v>
      </c>
      <c r="O6" s="24" t="s">
        <v>43</v>
      </c>
      <c r="P6" s="24" t="s">
        <v>43</v>
      </c>
      <c r="Q6" s="24" t="s">
        <v>43</v>
      </c>
      <c r="R6" s="24" t="s">
        <v>43</v>
      </c>
      <c r="S6" s="24" t="s">
        <v>43</v>
      </c>
    </row>
    <row r="7" customFormat="false" ht="15" hidden="false" customHeight="false" outlineLevel="0" collapsed="false">
      <c r="A7" s="30" t="s">
        <v>71</v>
      </c>
      <c r="B7" s="31" t="s">
        <v>72</v>
      </c>
      <c r="C7" s="31" t="s">
        <v>73</v>
      </c>
      <c r="D7" s="30" t="s">
        <v>74</v>
      </c>
      <c r="E7" s="31" t="n">
        <v>1</v>
      </c>
      <c r="F7" s="31" t="n">
        <v>1</v>
      </c>
      <c r="G7" s="32" t="n">
        <v>1</v>
      </c>
      <c r="H7" s="33" t="s">
        <v>43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</row>
    <row r="8" customFormat="false" ht="15" hidden="false" customHeight="false" outlineLevel="0" collapsed="false">
      <c r="A8" s="35" t="s">
        <v>75</v>
      </c>
      <c r="B8" s="36" t="s">
        <v>76</v>
      </c>
      <c r="C8" s="36" t="s">
        <v>77</v>
      </c>
      <c r="D8" s="35" t="s">
        <v>78</v>
      </c>
      <c r="E8" s="36" t="n">
        <v>1</v>
      </c>
      <c r="F8" s="36" t="n">
        <v>1</v>
      </c>
      <c r="G8" s="37" t="s">
        <v>79</v>
      </c>
      <c r="H8" s="38" t="s">
        <v>43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</row>
    <row r="9" customFormat="false" ht="15" hidden="false" customHeight="false" outlineLevel="0" collapsed="false">
      <c r="A9" s="30" t="s">
        <v>80</v>
      </c>
      <c r="B9" s="31" t="s">
        <v>81</v>
      </c>
      <c r="C9" s="31" t="s">
        <v>82</v>
      </c>
      <c r="D9" s="30" t="s">
        <v>74</v>
      </c>
      <c r="E9" s="31" t="n">
        <v>1</v>
      </c>
      <c r="F9" s="31" t="n">
        <v>12</v>
      </c>
      <c r="G9" s="32" t="n">
        <v>4.5</v>
      </c>
      <c r="H9" s="33" t="s">
        <v>43</v>
      </c>
      <c r="I9" s="33" t="s">
        <v>43</v>
      </c>
      <c r="J9" s="33" t="s">
        <v>43</v>
      </c>
      <c r="K9" s="33" t="s">
        <v>43</v>
      </c>
      <c r="L9" s="33" t="s">
        <v>43</v>
      </c>
      <c r="M9" s="33" t="s">
        <v>43</v>
      </c>
      <c r="N9" s="33" t="s">
        <v>43</v>
      </c>
      <c r="O9" s="33" t="s">
        <v>43</v>
      </c>
      <c r="P9" s="33" t="s">
        <v>43</v>
      </c>
      <c r="Q9" s="33" t="s">
        <v>43</v>
      </c>
      <c r="R9" s="33" t="s">
        <v>43</v>
      </c>
      <c r="S9" s="33" t="s">
        <v>43</v>
      </c>
    </row>
    <row r="10" customFormat="false" ht="15" hidden="false" customHeight="false" outlineLevel="0" collapsed="false">
      <c r="A10" s="30" t="s">
        <v>83</v>
      </c>
      <c r="B10" s="31" t="s">
        <v>84</v>
      </c>
      <c r="C10" s="31" t="s">
        <v>85</v>
      </c>
      <c r="D10" s="30" t="s">
        <v>74</v>
      </c>
      <c r="E10" s="31" t="n">
        <v>1</v>
      </c>
      <c r="F10" s="31" t="n">
        <v>12</v>
      </c>
      <c r="G10" s="32" t="n">
        <v>1.5</v>
      </c>
      <c r="H10" s="33" t="s">
        <v>43</v>
      </c>
      <c r="I10" s="33" t="s">
        <v>43</v>
      </c>
      <c r="J10" s="33" t="s">
        <v>43</v>
      </c>
      <c r="K10" s="33" t="s">
        <v>43</v>
      </c>
      <c r="L10" s="33" t="s">
        <v>43</v>
      </c>
      <c r="M10" s="33" t="s">
        <v>43</v>
      </c>
      <c r="N10" s="33" t="s">
        <v>43</v>
      </c>
      <c r="O10" s="33" t="s">
        <v>43</v>
      </c>
      <c r="P10" s="33" t="s">
        <v>43</v>
      </c>
      <c r="Q10" s="33" t="s">
        <v>43</v>
      </c>
      <c r="R10" s="33" t="s">
        <v>43</v>
      </c>
      <c r="S10" s="33" t="s">
        <v>43</v>
      </c>
    </row>
    <row r="11" customFormat="false" ht="15" hidden="false" customHeight="false" outlineLevel="0" collapsed="false">
      <c r="A11" s="30" t="s">
        <v>86</v>
      </c>
      <c r="B11" s="31" t="s">
        <v>87</v>
      </c>
      <c r="C11" s="31" t="s">
        <v>88</v>
      </c>
      <c r="D11" s="30" t="s">
        <v>74</v>
      </c>
      <c r="E11" s="31" t="n">
        <v>1</v>
      </c>
      <c r="F11" s="31" t="n">
        <v>12</v>
      </c>
      <c r="G11" s="32" t="n">
        <v>1.5</v>
      </c>
      <c r="H11" s="33" t="s">
        <v>43</v>
      </c>
      <c r="I11" s="33" t="s">
        <v>43</v>
      </c>
      <c r="J11" s="33" t="s">
        <v>43</v>
      </c>
      <c r="K11" s="33" t="s">
        <v>43</v>
      </c>
      <c r="L11" s="33" t="s">
        <v>43</v>
      </c>
      <c r="M11" s="33" t="s">
        <v>43</v>
      </c>
      <c r="N11" s="33" t="s">
        <v>43</v>
      </c>
      <c r="O11" s="33" t="s">
        <v>43</v>
      </c>
      <c r="P11" s="33" t="s">
        <v>43</v>
      </c>
      <c r="Q11" s="33" t="s">
        <v>43</v>
      </c>
      <c r="R11" s="33" t="s">
        <v>43</v>
      </c>
      <c r="S11" s="33" t="s">
        <v>43</v>
      </c>
    </row>
    <row r="12" customFormat="false" ht="15" hidden="false" customHeight="false" outlineLevel="0" collapsed="false">
      <c r="A12" s="30" t="s">
        <v>89</v>
      </c>
      <c r="B12" s="31" t="s">
        <v>90</v>
      </c>
      <c r="C12" s="31" t="s">
        <v>91</v>
      </c>
      <c r="D12" s="30" t="s">
        <v>74</v>
      </c>
      <c r="E12" s="31" t="n">
        <v>1</v>
      </c>
      <c r="F12" s="31" t="n">
        <v>12</v>
      </c>
      <c r="G12" s="32" t="n">
        <v>1</v>
      </c>
      <c r="H12" s="33" t="s">
        <v>43</v>
      </c>
      <c r="I12" s="33" t="s">
        <v>43</v>
      </c>
      <c r="J12" s="33" t="s">
        <v>43</v>
      </c>
      <c r="K12" s="33" t="s">
        <v>43</v>
      </c>
      <c r="L12" s="33" t="s">
        <v>43</v>
      </c>
      <c r="M12" s="33" t="s">
        <v>43</v>
      </c>
      <c r="N12" s="33" t="s">
        <v>43</v>
      </c>
      <c r="O12" s="33" t="s">
        <v>43</v>
      </c>
      <c r="P12" s="33" t="s">
        <v>43</v>
      </c>
      <c r="Q12" s="33" t="s">
        <v>43</v>
      </c>
      <c r="R12" s="33" t="s">
        <v>43</v>
      </c>
      <c r="S12" s="33" t="s">
        <v>43</v>
      </c>
    </row>
    <row r="13" customFormat="false" ht="15" hidden="false" customHeight="false" outlineLevel="0" collapsed="false">
      <c r="A13" s="30" t="s">
        <v>92</v>
      </c>
      <c r="B13" s="31" t="s">
        <v>93</v>
      </c>
      <c r="C13" s="31" t="s">
        <v>94</v>
      </c>
      <c r="D13" s="30" t="s">
        <v>74</v>
      </c>
      <c r="E13" s="31" t="n">
        <v>12</v>
      </c>
      <c r="F13" s="31" t="n">
        <v>12</v>
      </c>
      <c r="G13" s="32" t="n">
        <v>0.5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3" t="s">
        <v>43</v>
      </c>
    </row>
    <row r="14" customFormat="false" ht="15" hidden="false" customHeight="false" outlineLevel="0" collapsed="false">
      <c r="A14" s="28" t="s">
        <v>95</v>
      </c>
      <c r="B14" s="29" t="s">
        <v>96</v>
      </c>
      <c r="C14" s="29"/>
      <c r="D14" s="29"/>
      <c r="E14" s="29" t="n">
        <v>1</v>
      </c>
      <c r="F14" s="29" t="n">
        <v>1</v>
      </c>
      <c r="G14" s="29" t="n">
        <f aca="false">SUM(G15:G20)</f>
        <v>1.5</v>
      </c>
      <c r="H14" s="24" t="s">
        <v>43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</row>
    <row r="15" customFormat="false" ht="15" hidden="false" customHeight="false" outlineLevel="0" collapsed="false">
      <c r="A15" s="30" t="s">
        <v>97</v>
      </c>
      <c r="B15" s="31" t="s">
        <v>98</v>
      </c>
      <c r="C15" s="31" t="s">
        <v>99</v>
      </c>
      <c r="D15" s="30" t="s">
        <v>74</v>
      </c>
      <c r="E15" s="31" t="n">
        <v>1</v>
      </c>
      <c r="F15" s="31" t="n">
        <v>1</v>
      </c>
      <c r="G15" s="32" t="n">
        <v>0.5</v>
      </c>
      <c r="H15" s="33" t="s">
        <v>43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</row>
    <row r="16" customFormat="false" ht="15" hidden="false" customHeight="false" outlineLevel="0" collapsed="false">
      <c r="A16" s="30" t="s">
        <v>100</v>
      </c>
      <c r="B16" s="31" t="s">
        <v>101</v>
      </c>
      <c r="C16" s="31" t="s">
        <v>102</v>
      </c>
      <c r="D16" s="30" t="s">
        <v>74</v>
      </c>
      <c r="E16" s="31" t="n">
        <v>1</v>
      </c>
      <c r="F16" s="31" t="n">
        <v>1</v>
      </c>
      <c r="G16" s="32" t="n">
        <v>0.5</v>
      </c>
      <c r="H16" s="33" t="s">
        <v>43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customFormat="false" ht="15" hidden="false" customHeight="false" outlineLevel="0" collapsed="false">
      <c r="A17" s="35" t="s">
        <v>103</v>
      </c>
      <c r="B17" s="36" t="s">
        <v>104</v>
      </c>
      <c r="C17" s="36" t="s">
        <v>105</v>
      </c>
      <c r="D17" s="35" t="s">
        <v>106</v>
      </c>
      <c r="E17" s="36" t="n">
        <v>1</v>
      </c>
      <c r="F17" s="36" t="n">
        <v>1</v>
      </c>
      <c r="G17" s="37" t="s">
        <v>79</v>
      </c>
      <c r="H17" s="38" t="s">
        <v>43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</row>
    <row r="18" customFormat="false" ht="15" hidden="false" customHeight="false" outlineLevel="0" collapsed="false">
      <c r="A18" s="35" t="s">
        <v>107</v>
      </c>
      <c r="B18" s="36" t="s">
        <v>108</v>
      </c>
      <c r="C18" s="36" t="s">
        <v>109</v>
      </c>
      <c r="D18" s="35" t="s">
        <v>110</v>
      </c>
      <c r="E18" s="36" t="n">
        <v>1</v>
      </c>
      <c r="F18" s="36" t="n">
        <v>1</v>
      </c>
      <c r="G18" s="37" t="s">
        <v>79</v>
      </c>
      <c r="H18" s="38" t="s">
        <v>43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customFormat="false" ht="15" hidden="false" customHeight="false" outlineLevel="0" collapsed="false">
      <c r="A19" s="30" t="s">
        <v>111</v>
      </c>
      <c r="B19" s="31" t="s">
        <v>112</v>
      </c>
      <c r="C19" s="31" t="s">
        <v>113</v>
      </c>
      <c r="D19" s="31" t="s">
        <v>114</v>
      </c>
      <c r="E19" s="31" t="n">
        <v>1</v>
      </c>
      <c r="F19" s="31" t="n">
        <v>1</v>
      </c>
      <c r="G19" s="32" t="n">
        <v>0.5</v>
      </c>
      <c r="H19" s="33" t="s">
        <v>43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customFormat="false" ht="15" hidden="false" customHeight="false" outlineLevel="0" collapsed="false">
      <c r="A20" s="31"/>
      <c r="B20" s="40" t="s">
        <v>115</v>
      </c>
      <c r="C20" s="31"/>
      <c r="D20" s="31" t="s">
        <v>116</v>
      </c>
      <c r="E20" s="31" t="n">
        <v>1</v>
      </c>
      <c r="F20" s="31" t="n">
        <v>1</v>
      </c>
      <c r="G20" s="31"/>
      <c r="H20" s="41" t="s">
        <v>68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 customFormat="false" ht="15" hidden="false" customHeight="false" outlineLevel="0" collapsed="false">
      <c r="A21" s="28" t="s">
        <v>117</v>
      </c>
      <c r="B21" s="29" t="s">
        <v>118</v>
      </c>
      <c r="C21" s="29"/>
      <c r="D21" s="29"/>
      <c r="E21" s="29" t="n">
        <v>1</v>
      </c>
      <c r="F21" s="29" t="n">
        <v>4</v>
      </c>
      <c r="G21" s="29" t="n">
        <f aca="false">SUM(G22:G32)</f>
        <v>7.5</v>
      </c>
      <c r="H21" s="24" t="s">
        <v>43</v>
      </c>
      <c r="I21" s="24" t="s">
        <v>43</v>
      </c>
      <c r="J21" s="24" t="s">
        <v>43</v>
      </c>
      <c r="K21" s="24" t="s">
        <v>43</v>
      </c>
      <c r="L21" s="39"/>
      <c r="M21" s="39"/>
      <c r="N21" s="39"/>
      <c r="O21" s="39"/>
      <c r="P21" s="39"/>
      <c r="Q21" s="39"/>
      <c r="R21" s="39"/>
      <c r="S21" s="39"/>
    </row>
    <row r="22" customFormat="false" ht="15" hidden="false" customHeight="false" outlineLevel="0" collapsed="false">
      <c r="A22" s="30" t="s">
        <v>119</v>
      </c>
      <c r="B22" s="31" t="s">
        <v>120</v>
      </c>
      <c r="C22" s="31" t="s">
        <v>121</v>
      </c>
      <c r="D22" s="31" t="s">
        <v>114</v>
      </c>
      <c r="E22" s="31" t="n">
        <v>1</v>
      </c>
      <c r="F22" s="31" t="n">
        <v>2</v>
      </c>
      <c r="G22" s="32" t="n">
        <v>1.5</v>
      </c>
      <c r="H22" s="33" t="s">
        <v>43</v>
      </c>
      <c r="I22" s="33" t="s">
        <v>43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customFormat="false" ht="26.85" hidden="false" customHeight="false" outlineLevel="0" collapsed="false">
      <c r="A23" s="42" t="s">
        <v>122</v>
      </c>
      <c r="B23" s="43" t="s">
        <v>123</v>
      </c>
      <c r="C23" s="43" t="s">
        <v>124</v>
      </c>
      <c r="D23" s="43" t="s">
        <v>125</v>
      </c>
      <c r="E23" s="43" t="n">
        <v>1</v>
      </c>
      <c r="F23" s="43" t="n">
        <v>4</v>
      </c>
      <c r="G23" s="44" t="s">
        <v>79</v>
      </c>
      <c r="H23" s="45" t="s">
        <v>43</v>
      </c>
      <c r="I23" s="45" t="s">
        <v>43</v>
      </c>
      <c r="J23" s="45" t="s">
        <v>43</v>
      </c>
      <c r="K23" s="45" t="s">
        <v>43</v>
      </c>
      <c r="L23" s="34"/>
      <c r="M23" s="34"/>
      <c r="N23" s="34"/>
      <c r="O23" s="34"/>
      <c r="P23" s="34"/>
      <c r="Q23" s="34"/>
      <c r="R23" s="34"/>
      <c r="S23" s="34"/>
    </row>
    <row r="24" customFormat="false" ht="15" hidden="false" customHeight="false" outlineLevel="0" collapsed="false">
      <c r="A24" s="30" t="s">
        <v>126</v>
      </c>
      <c r="B24" s="30" t="s">
        <v>127</v>
      </c>
      <c r="C24" s="31" t="s">
        <v>128</v>
      </c>
      <c r="D24" s="31" t="s">
        <v>129</v>
      </c>
      <c r="E24" s="31" t="n">
        <v>1</v>
      </c>
      <c r="F24" s="31" t="n">
        <v>2</v>
      </c>
      <c r="G24" s="32" t="n">
        <v>1.5</v>
      </c>
      <c r="H24" s="33" t="s">
        <v>43</v>
      </c>
      <c r="I24" s="33" t="s">
        <v>43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 customFormat="false" ht="15" hidden="false" customHeight="false" outlineLevel="0" collapsed="false">
      <c r="A25" s="35" t="s">
        <v>130</v>
      </c>
      <c r="B25" s="36" t="s">
        <v>131</v>
      </c>
      <c r="C25" s="35" t="s">
        <v>79</v>
      </c>
      <c r="D25" s="35" t="s">
        <v>132</v>
      </c>
      <c r="E25" s="36" t="n">
        <v>1</v>
      </c>
      <c r="F25" s="36" t="n">
        <v>2</v>
      </c>
      <c r="G25" s="37" t="s">
        <v>79</v>
      </c>
      <c r="H25" s="38" t="s">
        <v>43</v>
      </c>
      <c r="I25" s="38" t="s">
        <v>43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</row>
    <row r="26" customFormat="false" ht="15" hidden="false" customHeight="false" outlineLevel="0" collapsed="false">
      <c r="A26" s="30" t="s">
        <v>133</v>
      </c>
      <c r="B26" s="30" t="s">
        <v>134</v>
      </c>
      <c r="C26" s="31" t="s">
        <v>135</v>
      </c>
      <c r="D26" s="31" t="s">
        <v>129</v>
      </c>
      <c r="E26" s="31" t="n">
        <v>2</v>
      </c>
      <c r="F26" s="31" t="n">
        <v>3</v>
      </c>
      <c r="G26" s="32" t="n">
        <v>2.5</v>
      </c>
      <c r="H26" s="34"/>
      <c r="I26" s="33" t="s">
        <v>43</v>
      </c>
      <c r="J26" s="33" t="s">
        <v>43</v>
      </c>
      <c r="K26" s="34"/>
      <c r="L26" s="34"/>
      <c r="M26" s="34"/>
      <c r="N26" s="34"/>
      <c r="O26" s="34"/>
      <c r="P26" s="34"/>
      <c r="Q26" s="34"/>
      <c r="R26" s="34"/>
      <c r="S26" s="34"/>
    </row>
    <row r="27" customFormat="false" ht="15" hidden="false" customHeight="false" outlineLevel="0" collapsed="false">
      <c r="A27" s="35" t="s">
        <v>136</v>
      </c>
      <c r="B27" s="36" t="s">
        <v>137</v>
      </c>
      <c r="C27" s="36" t="s">
        <v>138</v>
      </c>
      <c r="D27" s="35" t="s">
        <v>132</v>
      </c>
      <c r="E27" s="36" t="n">
        <v>2</v>
      </c>
      <c r="F27" s="36" t="n">
        <v>3</v>
      </c>
      <c r="G27" s="37" t="s">
        <v>79</v>
      </c>
      <c r="H27" s="34"/>
      <c r="I27" s="38" t="s">
        <v>43</v>
      </c>
      <c r="J27" s="38" t="s">
        <v>43</v>
      </c>
      <c r="K27" s="34"/>
      <c r="L27" s="34"/>
      <c r="M27" s="34"/>
      <c r="N27" s="34"/>
      <c r="O27" s="34"/>
      <c r="P27" s="34"/>
      <c r="Q27" s="34"/>
      <c r="R27" s="34"/>
      <c r="S27" s="34"/>
    </row>
    <row r="28" customFormat="false" ht="15" hidden="false" customHeight="false" outlineLevel="0" collapsed="false">
      <c r="A28" s="30" t="s">
        <v>139</v>
      </c>
      <c r="B28" s="31" t="s">
        <v>140</v>
      </c>
      <c r="C28" s="31" t="s">
        <v>141</v>
      </c>
      <c r="D28" s="31" t="s">
        <v>114</v>
      </c>
      <c r="E28" s="31" t="n">
        <v>2</v>
      </c>
      <c r="F28" s="31" t="n">
        <v>3</v>
      </c>
      <c r="G28" s="32" t="n">
        <v>1</v>
      </c>
      <c r="H28" s="34"/>
      <c r="I28" s="33" t="s">
        <v>43</v>
      </c>
      <c r="J28" s="33" t="s">
        <v>43</v>
      </c>
      <c r="K28" s="34"/>
      <c r="L28" s="34"/>
      <c r="M28" s="34"/>
      <c r="N28" s="34"/>
      <c r="O28" s="34"/>
      <c r="P28" s="34"/>
      <c r="Q28" s="34"/>
      <c r="R28" s="34"/>
      <c r="S28" s="34"/>
    </row>
    <row r="29" customFormat="false" ht="15" hidden="false" customHeight="false" outlineLevel="0" collapsed="false">
      <c r="A29" s="30" t="s">
        <v>142</v>
      </c>
      <c r="B29" s="31" t="s">
        <v>143</v>
      </c>
      <c r="C29" s="31" t="s">
        <v>144</v>
      </c>
      <c r="D29" s="31" t="s">
        <v>129</v>
      </c>
      <c r="E29" s="31" t="n">
        <v>3</v>
      </c>
      <c r="F29" s="31" t="n">
        <v>3</v>
      </c>
      <c r="G29" s="32" t="n">
        <v>0.5</v>
      </c>
      <c r="H29" s="34"/>
      <c r="I29" s="34"/>
      <c r="J29" s="33" t="s">
        <v>43</v>
      </c>
      <c r="K29" s="34"/>
      <c r="L29" s="34"/>
      <c r="M29" s="34"/>
      <c r="N29" s="34"/>
      <c r="O29" s="34"/>
      <c r="P29" s="34"/>
      <c r="Q29" s="34"/>
      <c r="R29" s="34"/>
      <c r="S29" s="34"/>
    </row>
    <row r="30" customFormat="false" ht="15" hidden="false" customHeight="false" outlineLevel="0" collapsed="false">
      <c r="A30" s="30" t="s">
        <v>145</v>
      </c>
      <c r="B30" s="31" t="s">
        <v>146</v>
      </c>
      <c r="C30" s="31" t="s">
        <v>147</v>
      </c>
      <c r="D30" s="30" t="s">
        <v>74</v>
      </c>
      <c r="E30" s="31" t="n">
        <v>3</v>
      </c>
      <c r="F30" s="31" t="n">
        <v>3</v>
      </c>
      <c r="G30" s="32" t="n">
        <v>0.5</v>
      </c>
      <c r="H30" s="34"/>
      <c r="I30" s="34"/>
      <c r="J30" s="33" t="s">
        <v>43</v>
      </c>
      <c r="K30" s="34"/>
      <c r="L30" s="34"/>
      <c r="M30" s="34"/>
      <c r="N30" s="34"/>
      <c r="O30" s="34"/>
      <c r="P30" s="34"/>
      <c r="Q30" s="34"/>
      <c r="R30" s="34"/>
      <c r="S30" s="34"/>
    </row>
    <row r="31" customFormat="false" ht="15" hidden="false" customHeight="false" outlineLevel="0" collapsed="false">
      <c r="A31" s="35" t="s">
        <v>148</v>
      </c>
      <c r="B31" s="36" t="s">
        <v>149</v>
      </c>
      <c r="C31" s="36" t="s">
        <v>77</v>
      </c>
      <c r="D31" s="35" t="s">
        <v>78</v>
      </c>
      <c r="E31" s="36" t="n">
        <v>3</v>
      </c>
      <c r="F31" s="36" t="n">
        <v>3</v>
      </c>
      <c r="G31" s="37" t="s">
        <v>79</v>
      </c>
      <c r="H31" s="34"/>
      <c r="I31" s="34"/>
      <c r="J31" s="38" t="s">
        <v>43</v>
      </c>
      <c r="K31" s="34"/>
      <c r="L31" s="34"/>
      <c r="M31" s="34"/>
      <c r="N31" s="34"/>
      <c r="O31" s="34"/>
      <c r="P31" s="34"/>
      <c r="Q31" s="34"/>
      <c r="R31" s="34"/>
      <c r="S31" s="34"/>
    </row>
    <row r="32" customFormat="false" ht="15" hidden="false" customHeight="false" outlineLevel="0" collapsed="false">
      <c r="A32" s="31"/>
      <c r="B32" s="46" t="s">
        <v>150</v>
      </c>
      <c r="C32" s="31"/>
      <c r="D32" s="31" t="s">
        <v>116</v>
      </c>
      <c r="E32" s="31" t="n">
        <v>3</v>
      </c>
      <c r="F32" s="31" t="n">
        <v>3</v>
      </c>
      <c r="G32" s="31"/>
      <c r="H32" s="34"/>
      <c r="I32" s="34"/>
      <c r="J32" s="41" t="s">
        <v>68</v>
      </c>
      <c r="K32" s="34"/>
      <c r="L32" s="34"/>
      <c r="M32" s="34"/>
      <c r="N32" s="34"/>
      <c r="O32" s="34"/>
      <c r="P32" s="34"/>
      <c r="Q32" s="34"/>
      <c r="R32" s="34"/>
      <c r="S32" s="34"/>
    </row>
    <row r="33" customFormat="false" ht="15" hidden="false" customHeight="false" outlineLevel="0" collapsed="false">
      <c r="A33" s="28" t="s">
        <v>151</v>
      </c>
      <c r="B33" s="29" t="s">
        <v>152</v>
      </c>
      <c r="C33" s="29"/>
      <c r="D33" s="29"/>
      <c r="E33" s="29" t="n">
        <v>2</v>
      </c>
      <c r="F33" s="29" t="n">
        <v>6</v>
      </c>
      <c r="G33" s="29" t="n">
        <f aca="false">SUM(G34:G39)</f>
        <v>6</v>
      </c>
      <c r="H33" s="39"/>
      <c r="I33" s="24" t="s">
        <v>43</v>
      </c>
      <c r="J33" s="24" t="s">
        <v>43</v>
      </c>
      <c r="K33" s="24" t="s">
        <v>43</v>
      </c>
      <c r="L33" s="24" t="s">
        <v>43</v>
      </c>
      <c r="M33" s="24" t="s">
        <v>43</v>
      </c>
      <c r="N33" s="39"/>
      <c r="O33" s="39"/>
      <c r="P33" s="39"/>
      <c r="Q33" s="39"/>
      <c r="R33" s="39"/>
      <c r="S33" s="39"/>
    </row>
    <row r="34" customFormat="false" ht="15" hidden="false" customHeight="false" outlineLevel="0" collapsed="false">
      <c r="A34" s="30" t="s">
        <v>153</v>
      </c>
      <c r="B34" s="30" t="s">
        <v>154</v>
      </c>
      <c r="C34" s="31" t="s">
        <v>155</v>
      </c>
      <c r="D34" s="31" t="s">
        <v>114</v>
      </c>
      <c r="E34" s="31" t="n">
        <v>2</v>
      </c>
      <c r="F34" s="31" t="n">
        <v>3</v>
      </c>
      <c r="G34" s="32" t="n">
        <v>1.5</v>
      </c>
      <c r="H34" s="34"/>
      <c r="I34" s="33" t="s">
        <v>43</v>
      </c>
      <c r="J34" s="33" t="s">
        <v>43</v>
      </c>
      <c r="K34" s="34"/>
      <c r="L34" s="34"/>
      <c r="M34" s="34"/>
      <c r="N34" s="34"/>
      <c r="O34" s="34"/>
      <c r="P34" s="34"/>
      <c r="Q34" s="34"/>
      <c r="R34" s="34"/>
      <c r="S34" s="34"/>
    </row>
    <row r="35" customFormat="false" ht="15" hidden="false" customHeight="false" outlineLevel="0" collapsed="false">
      <c r="A35" s="30" t="s">
        <v>156</v>
      </c>
      <c r="B35" s="31" t="s">
        <v>157</v>
      </c>
      <c r="C35" s="31" t="s">
        <v>158</v>
      </c>
      <c r="D35" s="31" t="s">
        <v>114</v>
      </c>
      <c r="E35" s="31" t="n">
        <v>3</v>
      </c>
      <c r="F35" s="31" t="n">
        <v>3</v>
      </c>
      <c r="G35" s="32" t="n">
        <v>0.5</v>
      </c>
      <c r="H35" s="34"/>
      <c r="I35" s="34"/>
      <c r="J35" s="33" t="s">
        <v>43</v>
      </c>
      <c r="K35" s="34"/>
      <c r="L35" s="34"/>
      <c r="M35" s="34"/>
      <c r="N35" s="34"/>
      <c r="O35" s="34"/>
      <c r="P35" s="34"/>
      <c r="Q35" s="34"/>
      <c r="R35" s="34"/>
      <c r="S35" s="34"/>
    </row>
    <row r="36" customFormat="false" ht="15" hidden="false" customHeight="false" outlineLevel="0" collapsed="false">
      <c r="A36" s="35" t="s">
        <v>159</v>
      </c>
      <c r="B36" s="36" t="s">
        <v>160</v>
      </c>
      <c r="C36" s="36" t="s">
        <v>77</v>
      </c>
      <c r="D36" s="35" t="s">
        <v>110</v>
      </c>
      <c r="E36" s="36" t="n">
        <v>3</v>
      </c>
      <c r="F36" s="36" t="n">
        <v>3</v>
      </c>
      <c r="G36" s="37" t="s">
        <v>79</v>
      </c>
      <c r="H36" s="34"/>
      <c r="I36" s="34"/>
      <c r="J36" s="38" t="s">
        <v>43</v>
      </c>
      <c r="K36" s="34"/>
      <c r="L36" s="34"/>
      <c r="M36" s="34"/>
      <c r="N36" s="34"/>
      <c r="O36" s="34"/>
      <c r="P36" s="34"/>
      <c r="Q36" s="34"/>
      <c r="R36" s="34"/>
      <c r="S36" s="34"/>
    </row>
    <row r="37" customFormat="false" ht="15" hidden="false" customHeight="false" outlineLevel="0" collapsed="false">
      <c r="A37" s="30" t="s">
        <v>161</v>
      </c>
      <c r="B37" s="31" t="s">
        <v>162</v>
      </c>
      <c r="C37" s="30" t="s">
        <v>163</v>
      </c>
      <c r="D37" s="31" t="s">
        <v>114</v>
      </c>
      <c r="E37" s="31" t="n">
        <v>3</v>
      </c>
      <c r="F37" s="31" t="n">
        <v>4</v>
      </c>
      <c r="G37" s="32" t="n">
        <v>1</v>
      </c>
      <c r="H37" s="34"/>
      <c r="I37" s="34"/>
      <c r="J37" s="33" t="s">
        <v>43</v>
      </c>
      <c r="K37" s="33" t="s">
        <v>43</v>
      </c>
      <c r="L37" s="34"/>
      <c r="M37" s="34"/>
      <c r="N37" s="34"/>
      <c r="O37" s="34"/>
      <c r="P37" s="34"/>
      <c r="Q37" s="34"/>
      <c r="R37" s="34"/>
      <c r="S37" s="34"/>
    </row>
    <row r="38" customFormat="false" ht="15" hidden="false" customHeight="false" outlineLevel="0" collapsed="false">
      <c r="A38" s="30" t="s">
        <v>164</v>
      </c>
      <c r="B38" s="31" t="s">
        <v>165</v>
      </c>
      <c r="C38" s="31" t="s">
        <v>166</v>
      </c>
      <c r="D38" s="31" t="s">
        <v>114</v>
      </c>
      <c r="E38" s="31" t="n">
        <v>4</v>
      </c>
      <c r="F38" s="31" t="n">
        <v>5</v>
      </c>
      <c r="G38" s="32" t="n">
        <v>1.5</v>
      </c>
      <c r="H38" s="34"/>
      <c r="I38" s="34"/>
      <c r="J38" s="34"/>
      <c r="K38" s="33" t="s">
        <v>43</v>
      </c>
      <c r="L38" s="33" t="s">
        <v>43</v>
      </c>
      <c r="M38" s="34"/>
      <c r="N38" s="34"/>
      <c r="O38" s="34"/>
      <c r="P38" s="34"/>
      <c r="Q38" s="34"/>
      <c r="R38" s="34"/>
      <c r="S38" s="34"/>
    </row>
    <row r="39" customFormat="false" ht="15" hidden="false" customHeight="false" outlineLevel="0" collapsed="false">
      <c r="A39" s="30" t="s">
        <v>167</v>
      </c>
      <c r="B39" s="30" t="s">
        <v>168</v>
      </c>
      <c r="C39" s="30" t="s">
        <v>169</v>
      </c>
      <c r="D39" s="31" t="s">
        <v>114</v>
      </c>
      <c r="E39" s="31" t="n">
        <v>5</v>
      </c>
      <c r="F39" s="31" t="n">
        <v>6</v>
      </c>
      <c r="G39" s="32" t="n">
        <v>1.5</v>
      </c>
      <c r="H39" s="34"/>
      <c r="I39" s="34"/>
      <c r="J39" s="34"/>
      <c r="K39" s="34"/>
      <c r="L39" s="33" t="s">
        <v>43</v>
      </c>
      <c r="M39" s="33" t="s">
        <v>43</v>
      </c>
      <c r="N39" s="34"/>
      <c r="O39" s="34"/>
      <c r="P39" s="34"/>
      <c r="Q39" s="34"/>
      <c r="R39" s="34"/>
      <c r="S39" s="34"/>
    </row>
    <row r="40" customFormat="false" ht="15" hidden="false" customHeight="false" outlineLevel="0" collapsed="false">
      <c r="A40" s="28" t="s">
        <v>170</v>
      </c>
      <c r="B40" s="29" t="s">
        <v>171</v>
      </c>
      <c r="C40" s="29"/>
      <c r="D40" s="29"/>
      <c r="E40" s="29" t="n">
        <v>4</v>
      </c>
      <c r="F40" s="29" t="n">
        <v>5</v>
      </c>
      <c r="G40" s="29" t="n">
        <f aca="false">SUM(G41:G46)</f>
        <v>8.5</v>
      </c>
      <c r="H40" s="39"/>
      <c r="I40" s="39"/>
      <c r="J40" s="39"/>
      <c r="K40" s="24" t="s">
        <v>43</v>
      </c>
      <c r="L40" s="24" t="s">
        <v>43</v>
      </c>
      <c r="M40" s="39"/>
      <c r="N40" s="39"/>
      <c r="O40" s="39"/>
      <c r="P40" s="39"/>
      <c r="Q40" s="39"/>
      <c r="R40" s="39"/>
      <c r="S40" s="39"/>
    </row>
    <row r="41" customFormat="false" ht="15" hidden="false" customHeight="false" outlineLevel="0" collapsed="false">
      <c r="A41" s="30" t="s">
        <v>172</v>
      </c>
      <c r="B41" s="31" t="s">
        <v>173</v>
      </c>
      <c r="C41" s="31" t="s">
        <v>174</v>
      </c>
      <c r="D41" s="31" t="s">
        <v>129</v>
      </c>
      <c r="E41" s="31" t="n">
        <v>4</v>
      </c>
      <c r="F41" s="31" t="n">
        <v>5</v>
      </c>
      <c r="G41" s="32" t="n">
        <v>2.5</v>
      </c>
      <c r="H41" s="34"/>
      <c r="I41" s="34"/>
      <c r="J41" s="34"/>
      <c r="K41" s="33" t="s">
        <v>43</v>
      </c>
      <c r="L41" s="33" t="s">
        <v>43</v>
      </c>
      <c r="M41" s="34"/>
      <c r="N41" s="34"/>
      <c r="O41" s="34"/>
      <c r="P41" s="34"/>
      <c r="Q41" s="34"/>
      <c r="R41" s="34"/>
      <c r="S41" s="34"/>
    </row>
    <row r="42" customFormat="false" ht="15" hidden="false" customHeight="false" outlineLevel="0" collapsed="false">
      <c r="A42" s="30" t="s">
        <v>175</v>
      </c>
      <c r="B42" s="31" t="s">
        <v>176</v>
      </c>
      <c r="C42" s="30" t="s">
        <v>177</v>
      </c>
      <c r="D42" s="31" t="s">
        <v>114</v>
      </c>
      <c r="E42" s="31" t="n">
        <v>4</v>
      </c>
      <c r="F42" s="31" t="n">
        <v>4</v>
      </c>
      <c r="G42" s="32" t="n">
        <v>1</v>
      </c>
      <c r="H42" s="34"/>
      <c r="I42" s="34"/>
      <c r="J42" s="34"/>
      <c r="K42" s="33" t="s">
        <v>43</v>
      </c>
      <c r="L42" s="34"/>
      <c r="M42" s="34"/>
      <c r="N42" s="34"/>
      <c r="O42" s="34"/>
      <c r="P42" s="34"/>
      <c r="Q42" s="34"/>
      <c r="R42" s="34"/>
      <c r="S42" s="34"/>
    </row>
    <row r="43" customFormat="false" ht="15" hidden="false" customHeight="false" outlineLevel="0" collapsed="false">
      <c r="A43" s="35" t="s">
        <v>178</v>
      </c>
      <c r="B43" s="36" t="s">
        <v>179</v>
      </c>
      <c r="C43" s="36" t="s">
        <v>180</v>
      </c>
      <c r="D43" s="35" t="s">
        <v>132</v>
      </c>
      <c r="E43" s="36" t="n">
        <v>4</v>
      </c>
      <c r="F43" s="36" t="n">
        <v>5</v>
      </c>
      <c r="G43" s="37" t="s">
        <v>79</v>
      </c>
      <c r="H43" s="34"/>
      <c r="I43" s="34"/>
      <c r="J43" s="34"/>
      <c r="K43" s="38" t="s">
        <v>43</v>
      </c>
      <c r="L43" s="38" t="s">
        <v>43</v>
      </c>
      <c r="M43" s="34"/>
      <c r="N43" s="34"/>
      <c r="O43" s="34"/>
      <c r="P43" s="34"/>
      <c r="Q43" s="34"/>
      <c r="R43" s="34"/>
      <c r="S43" s="34"/>
    </row>
    <row r="44" customFormat="false" ht="15" hidden="false" customHeight="false" outlineLevel="0" collapsed="false">
      <c r="A44" s="30" t="s">
        <v>181</v>
      </c>
      <c r="B44" s="31" t="s">
        <v>182</v>
      </c>
      <c r="C44" s="31" t="s">
        <v>183</v>
      </c>
      <c r="D44" s="31" t="s">
        <v>184</v>
      </c>
      <c r="E44" s="31" t="n">
        <v>4</v>
      </c>
      <c r="F44" s="31" t="n">
        <v>5</v>
      </c>
      <c r="G44" s="32" t="n">
        <v>5</v>
      </c>
      <c r="H44" s="34"/>
      <c r="I44" s="34"/>
      <c r="J44" s="34"/>
      <c r="K44" s="33" t="s">
        <v>43</v>
      </c>
      <c r="L44" s="33" t="s">
        <v>43</v>
      </c>
      <c r="M44" s="34"/>
      <c r="N44" s="34"/>
      <c r="O44" s="34"/>
      <c r="P44" s="34"/>
      <c r="Q44" s="34"/>
      <c r="R44" s="34"/>
      <c r="S44" s="34"/>
    </row>
    <row r="45" customFormat="false" ht="15" hidden="false" customHeight="false" outlineLevel="0" collapsed="false">
      <c r="A45" s="35" t="s">
        <v>185</v>
      </c>
      <c r="B45" s="36" t="s">
        <v>186</v>
      </c>
      <c r="C45" s="36" t="s">
        <v>77</v>
      </c>
      <c r="D45" s="35" t="s">
        <v>110</v>
      </c>
      <c r="E45" s="36" t="n">
        <v>5</v>
      </c>
      <c r="F45" s="36" t="n">
        <v>5</v>
      </c>
      <c r="G45" s="37" t="s">
        <v>79</v>
      </c>
      <c r="H45" s="34"/>
      <c r="I45" s="34"/>
      <c r="J45" s="34"/>
      <c r="K45" s="34"/>
      <c r="L45" s="38" t="s">
        <v>43</v>
      </c>
      <c r="M45" s="34"/>
      <c r="N45" s="34"/>
      <c r="O45" s="34"/>
      <c r="P45" s="34"/>
      <c r="Q45" s="34"/>
      <c r="R45" s="34"/>
      <c r="S45" s="34"/>
    </row>
    <row r="46" customFormat="false" ht="15" hidden="false" customHeight="false" outlineLevel="0" collapsed="false">
      <c r="A46" s="31"/>
      <c r="B46" s="46" t="s">
        <v>187</v>
      </c>
      <c r="C46" s="31"/>
      <c r="D46" s="31" t="s">
        <v>116</v>
      </c>
      <c r="E46" s="31" t="n">
        <v>5</v>
      </c>
      <c r="F46" s="31" t="n">
        <v>5</v>
      </c>
      <c r="G46" s="31"/>
      <c r="H46" s="34"/>
      <c r="I46" s="34"/>
      <c r="J46" s="34"/>
      <c r="K46" s="34"/>
      <c r="L46" s="41" t="s">
        <v>68</v>
      </c>
      <c r="M46" s="34"/>
      <c r="N46" s="34"/>
      <c r="O46" s="34"/>
      <c r="P46" s="34"/>
      <c r="Q46" s="34"/>
      <c r="R46" s="34"/>
      <c r="S46" s="34"/>
    </row>
    <row r="47" customFormat="false" ht="15" hidden="false" customHeight="false" outlineLevel="0" collapsed="false">
      <c r="A47" s="28" t="s">
        <v>188</v>
      </c>
      <c r="B47" s="29" t="s">
        <v>189</v>
      </c>
      <c r="C47" s="29"/>
      <c r="D47" s="29"/>
      <c r="E47" s="29" t="n">
        <v>6</v>
      </c>
      <c r="F47" s="29" t="n">
        <v>8</v>
      </c>
      <c r="G47" s="29" t="n">
        <f aca="false">SUM(G48:G52)</f>
        <v>12</v>
      </c>
      <c r="H47" s="39"/>
      <c r="I47" s="39"/>
      <c r="J47" s="39"/>
      <c r="K47" s="39"/>
      <c r="L47" s="39"/>
      <c r="M47" s="24" t="s">
        <v>43</v>
      </c>
      <c r="N47" s="24" t="s">
        <v>43</v>
      </c>
      <c r="O47" s="24" t="s">
        <v>43</v>
      </c>
      <c r="P47" s="39"/>
      <c r="Q47" s="39"/>
      <c r="R47" s="39"/>
      <c r="S47" s="39"/>
    </row>
    <row r="48" customFormat="false" ht="15" hidden="false" customHeight="false" outlineLevel="0" collapsed="false">
      <c r="A48" s="30" t="s">
        <v>190</v>
      </c>
      <c r="B48" s="31" t="s">
        <v>191</v>
      </c>
      <c r="C48" s="31" t="s">
        <v>192</v>
      </c>
      <c r="D48" s="31" t="s">
        <v>184</v>
      </c>
      <c r="E48" s="31" t="n">
        <v>6</v>
      </c>
      <c r="F48" s="31" t="n">
        <v>8</v>
      </c>
      <c r="G48" s="32" t="n">
        <v>4.5</v>
      </c>
      <c r="H48" s="34"/>
      <c r="I48" s="34"/>
      <c r="J48" s="34"/>
      <c r="K48" s="34"/>
      <c r="L48" s="34"/>
      <c r="M48" s="33" t="s">
        <v>43</v>
      </c>
      <c r="N48" s="33" t="s">
        <v>43</v>
      </c>
      <c r="O48" s="33" t="s">
        <v>43</v>
      </c>
      <c r="P48" s="34"/>
      <c r="Q48" s="34"/>
      <c r="R48" s="34"/>
      <c r="S48" s="34"/>
    </row>
    <row r="49" customFormat="false" ht="15" hidden="false" customHeight="false" outlineLevel="0" collapsed="false">
      <c r="A49" s="30" t="s">
        <v>193</v>
      </c>
      <c r="B49" s="31" t="s">
        <v>194</v>
      </c>
      <c r="C49" s="31" t="s">
        <v>192</v>
      </c>
      <c r="D49" s="31" t="s">
        <v>184</v>
      </c>
      <c r="E49" s="31" t="n">
        <v>6</v>
      </c>
      <c r="F49" s="31" t="n">
        <v>8</v>
      </c>
      <c r="G49" s="32" t="n">
        <v>4.5</v>
      </c>
      <c r="H49" s="34"/>
      <c r="I49" s="34"/>
      <c r="J49" s="34"/>
      <c r="K49" s="34"/>
      <c r="L49" s="34"/>
      <c r="M49" s="33" t="s">
        <v>43</v>
      </c>
      <c r="N49" s="33" t="s">
        <v>43</v>
      </c>
      <c r="O49" s="33" t="s">
        <v>43</v>
      </c>
      <c r="P49" s="34"/>
      <c r="Q49" s="34"/>
      <c r="R49" s="34"/>
      <c r="S49" s="34"/>
    </row>
    <row r="50" customFormat="false" ht="15" hidden="false" customHeight="false" outlineLevel="0" collapsed="false">
      <c r="A50" s="30" t="s">
        <v>195</v>
      </c>
      <c r="B50" s="31" t="s">
        <v>196</v>
      </c>
      <c r="C50" s="31" t="s">
        <v>192</v>
      </c>
      <c r="D50" s="31" t="s">
        <v>184</v>
      </c>
      <c r="E50" s="31" t="n">
        <v>6</v>
      </c>
      <c r="F50" s="31" t="n">
        <v>8</v>
      </c>
      <c r="G50" s="32" t="n">
        <v>1</v>
      </c>
      <c r="H50" s="34"/>
      <c r="I50" s="34"/>
      <c r="J50" s="34"/>
      <c r="K50" s="34"/>
      <c r="L50" s="34"/>
      <c r="M50" s="33" t="s">
        <v>43</v>
      </c>
      <c r="N50" s="33" t="s">
        <v>43</v>
      </c>
      <c r="O50" s="33" t="s">
        <v>43</v>
      </c>
      <c r="P50" s="34"/>
      <c r="Q50" s="34"/>
      <c r="R50" s="34"/>
      <c r="S50" s="34"/>
    </row>
    <row r="51" customFormat="false" ht="15" hidden="false" customHeight="false" outlineLevel="0" collapsed="false">
      <c r="A51" s="30" t="s">
        <v>197</v>
      </c>
      <c r="B51" s="31" t="s">
        <v>198</v>
      </c>
      <c r="C51" s="31" t="s">
        <v>199</v>
      </c>
      <c r="D51" s="31" t="s">
        <v>114</v>
      </c>
      <c r="E51" s="31" t="n">
        <v>6</v>
      </c>
      <c r="F51" s="31" t="n">
        <v>8</v>
      </c>
      <c r="G51" s="32" t="n">
        <v>2</v>
      </c>
      <c r="H51" s="34"/>
      <c r="I51" s="34"/>
      <c r="J51" s="34"/>
      <c r="K51" s="34"/>
      <c r="L51" s="34"/>
      <c r="M51" s="33" t="s">
        <v>43</v>
      </c>
      <c r="N51" s="33" t="s">
        <v>43</v>
      </c>
      <c r="O51" s="33" t="s">
        <v>43</v>
      </c>
      <c r="P51" s="34"/>
      <c r="Q51" s="34"/>
      <c r="R51" s="34"/>
      <c r="S51" s="34"/>
    </row>
    <row r="52" customFormat="false" ht="15" hidden="false" customHeight="false" outlineLevel="0" collapsed="false">
      <c r="A52" s="31"/>
      <c r="B52" s="46" t="s">
        <v>200</v>
      </c>
      <c r="C52" s="31"/>
      <c r="D52" s="31" t="s">
        <v>116</v>
      </c>
      <c r="E52" s="31" t="n">
        <v>8</v>
      </c>
      <c r="F52" s="31" t="n">
        <v>8</v>
      </c>
      <c r="G52" s="31"/>
      <c r="H52" s="34"/>
      <c r="I52" s="34"/>
      <c r="J52" s="34"/>
      <c r="K52" s="34"/>
      <c r="L52" s="34"/>
      <c r="M52" s="34"/>
      <c r="N52" s="34"/>
      <c r="O52" s="41" t="s">
        <v>68</v>
      </c>
      <c r="P52" s="34"/>
      <c r="Q52" s="34"/>
      <c r="R52" s="34"/>
      <c r="S52" s="34"/>
    </row>
    <row r="53" customFormat="false" ht="15" hidden="false" customHeight="false" outlineLevel="0" collapsed="false">
      <c r="A53" s="28" t="s">
        <v>201</v>
      </c>
      <c r="B53" s="29" t="s">
        <v>202</v>
      </c>
      <c r="C53" s="29"/>
      <c r="D53" s="29"/>
      <c r="E53" s="29" t="n">
        <v>7</v>
      </c>
      <c r="F53" s="29" t="n">
        <v>10</v>
      </c>
      <c r="G53" s="29" t="n">
        <f aca="false">SUM(G54:G65)</f>
        <v>10.5</v>
      </c>
      <c r="H53" s="39"/>
      <c r="I53" s="39"/>
      <c r="J53" s="39"/>
      <c r="K53" s="39"/>
      <c r="L53" s="39"/>
      <c r="M53" s="39"/>
      <c r="N53" s="24" t="s">
        <v>43</v>
      </c>
      <c r="O53" s="24" t="s">
        <v>43</v>
      </c>
      <c r="P53" s="24" t="s">
        <v>43</v>
      </c>
      <c r="Q53" s="24" t="s">
        <v>43</v>
      </c>
      <c r="R53" s="39"/>
      <c r="S53" s="39"/>
    </row>
    <row r="54" customFormat="false" ht="15" hidden="false" customHeight="false" outlineLevel="0" collapsed="false">
      <c r="A54" s="30" t="s">
        <v>203</v>
      </c>
      <c r="B54" s="31" t="s">
        <v>204</v>
      </c>
      <c r="C54" s="31" t="s">
        <v>205</v>
      </c>
      <c r="D54" s="31" t="s">
        <v>206</v>
      </c>
      <c r="E54" s="31" t="n">
        <v>7</v>
      </c>
      <c r="F54" s="31" t="n">
        <v>7</v>
      </c>
      <c r="G54" s="32" t="n">
        <v>1</v>
      </c>
      <c r="H54" s="34"/>
      <c r="I54" s="34"/>
      <c r="J54" s="34"/>
      <c r="K54" s="34"/>
      <c r="L54" s="34"/>
      <c r="M54" s="34"/>
      <c r="N54" s="33" t="s">
        <v>43</v>
      </c>
      <c r="O54" s="34"/>
      <c r="P54" s="34"/>
      <c r="Q54" s="34"/>
      <c r="R54" s="34"/>
      <c r="S54" s="34"/>
    </row>
    <row r="55" customFormat="false" ht="15" hidden="false" customHeight="false" outlineLevel="0" collapsed="false">
      <c r="A55" s="30" t="s">
        <v>207</v>
      </c>
      <c r="B55" s="31" t="s">
        <v>208</v>
      </c>
      <c r="C55" s="31" t="s">
        <v>209</v>
      </c>
      <c r="D55" s="31" t="s">
        <v>206</v>
      </c>
      <c r="E55" s="31" t="n">
        <v>8</v>
      </c>
      <c r="F55" s="31" t="n">
        <v>8</v>
      </c>
      <c r="G55" s="32" t="n">
        <v>1</v>
      </c>
      <c r="H55" s="34"/>
      <c r="I55" s="34"/>
      <c r="J55" s="34"/>
      <c r="K55" s="34"/>
      <c r="L55" s="34"/>
      <c r="M55" s="34"/>
      <c r="N55" s="34"/>
      <c r="O55" s="33" t="s">
        <v>43</v>
      </c>
      <c r="P55" s="34"/>
      <c r="Q55" s="34"/>
      <c r="R55" s="34"/>
      <c r="S55" s="34"/>
    </row>
    <row r="56" customFormat="false" ht="15" hidden="false" customHeight="false" outlineLevel="0" collapsed="false">
      <c r="A56" s="30" t="s">
        <v>210</v>
      </c>
      <c r="B56" s="30" t="s">
        <v>211</v>
      </c>
      <c r="C56" s="30" t="s">
        <v>212</v>
      </c>
      <c r="D56" s="31" t="s">
        <v>129</v>
      </c>
      <c r="E56" s="31" t="n">
        <v>8</v>
      </c>
      <c r="F56" s="31" t="n">
        <v>9</v>
      </c>
      <c r="G56" s="32" t="n">
        <v>1</v>
      </c>
      <c r="H56" s="34"/>
      <c r="I56" s="34"/>
      <c r="J56" s="34"/>
      <c r="K56" s="34"/>
      <c r="L56" s="34"/>
      <c r="M56" s="34"/>
      <c r="N56" s="34"/>
      <c r="O56" s="33" t="s">
        <v>43</v>
      </c>
      <c r="P56" s="33" t="s">
        <v>43</v>
      </c>
      <c r="Q56" s="34"/>
      <c r="R56" s="34"/>
      <c r="S56" s="34"/>
    </row>
    <row r="57" customFormat="false" ht="15" hidden="false" customHeight="false" outlineLevel="0" collapsed="false">
      <c r="A57" s="30" t="s">
        <v>213</v>
      </c>
      <c r="B57" s="31" t="s">
        <v>214</v>
      </c>
      <c r="C57" s="31" t="s">
        <v>215</v>
      </c>
      <c r="D57" s="31" t="s">
        <v>206</v>
      </c>
      <c r="E57" s="31" t="n">
        <v>9</v>
      </c>
      <c r="F57" s="31" t="n">
        <v>9</v>
      </c>
      <c r="G57" s="32" t="n">
        <v>1</v>
      </c>
      <c r="H57" s="34"/>
      <c r="I57" s="34"/>
      <c r="J57" s="34"/>
      <c r="K57" s="34"/>
      <c r="L57" s="34"/>
      <c r="M57" s="34"/>
      <c r="N57" s="34"/>
      <c r="O57" s="34"/>
      <c r="P57" s="33" t="s">
        <v>43</v>
      </c>
      <c r="Q57" s="34"/>
      <c r="R57" s="34"/>
      <c r="S57" s="34"/>
    </row>
    <row r="58" customFormat="false" ht="15" hidden="false" customHeight="false" outlineLevel="0" collapsed="false">
      <c r="A58" s="30" t="s">
        <v>216</v>
      </c>
      <c r="B58" s="31" t="s">
        <v>217</v>
      </c>
      <c r="C58" s="31" t="s">
        <v>218</v>
      </c>
      <c r="D58" s="31" t="s">
        <v>114</v>
      </c>
      <c r="E58" s="31" t="n">
        <v>9</v>
      </c>
      <c r="F58" s="31" t="n">
        <v>9</v>
      </c>
      <c r="G58" s="32" t="n">
        <v>1</v>
      </c>
      <c r="H58" s="34"/>
      <c r="I58" s="34"/>
      <c r="J58" s="34"/>
      <c r="K58" s="34"/>
      <c r="L58" s="34"/>
      <c r="M58" s="34"/>
      <c r="N58" s="34"/>
      <c r="O58" s="34"/>
      <c r="P58" s="33" t="s">
        <v>43</v>
      </c>
      <c r="Q58" s="34"/>
      <c r="R58" s="34"/>
      <c r="S58" s="34"/>
    </row>
    <row r="59" customFormat="false" ht="15" hidden="false" customHeight="false" outlineLevel="0" collapsed="false">
      <c r="A59" s="30" t="s">
        <v>219</v>
      </c>
      <c r="B59" s="31" t="s">
        <v>220</v>
      </c>
      <c r="C59" s="31" t="s">
        <v>221</v>
      </c>
      <c r="D59" s="31" t="s">
        <v>184</v>
      </c>
      <c r="E59" s="31" t="n">
        <v>9</v>
      </c>
      <c r="F59" s="31" t="n">
        <v>9</v>
      </c>
      <c r="G59" s="32" t="n">
        <v>3</v>
      </c>
      <c r="H59" s="34"/>
      <c r="I59" s="34"/>
      <c r="J59" s="34"/>
      <c r="K59" s="34"/>
      <c r="L59" s="34"/>
      <c r="M59" s="34"/>
      <c r="N59" s="34"/>
      <c r="O59" s="34"/>
      <c r="P59" s="33" t="s">
        <v>43</v>
      </c>
      <c r="Q59" s="34"/>
      <c r="R59" s="34"/>
      <c r="S59" s="34"/>
    </row>
    <row r="60" customFormat="false" ht="15" hidden="false" customHeight="false" outlineLevel="0" collapsed="false">
      <c r="A60" s="35" t="s">
        <v>222</v>
      </c>
      <c r="B60" s="36" t="s">
        <v>223</v>
      </c>
      <c r="C60" s="35" t="s">
        <v>224</v>
      </c>
      <c r="D60" s="35" t="s">
        <v>132</v>
      </c>
      <c r="E60" s="36" t="n">
        <v>9</v>
      </c>
      <c r="F60" s="36" t="n">
        <v>10</v>
      </c>
      <c r="G60" s="37" t="s">
        <v>79</v>
      </c>
      <c r="H60" s="34"/>
      <c r="I60" s="34"/>
      <c r="J60" s="34"/>
      <c r="K60" s="34"/>
      <c r="L60" s="34"/>
      <c r="M60" s="34"/>
      <c r="N60" s="34"/>
      <c r="O60" s="34"/>
      <c r="P60" s="38" t="s">
        <v>43</v>
      </c>
      <c r="Q60" s="38" t="s">
        <v>43</v>
      </c>
      <c r="R60" s="34"/>
      <c r="S60" s="34"/>
    </row>
    <row r="61" customFormat="false" ht="15" hidden="false" customHeight="false" outlineLevel="0" collapsed="false">
      <c r="A61" s="30" t="s">
        <v>225</v>
      </c>
      <c r="B61" s="30" t="s">
        <v>226</v>
      </c>
      <c r="C61" s="30" t="s">
        <v>227</v>
      </c>
      <c r="D61" s="31" t="s">
        <v>129</v>
      </c>
      <c r="E61" s="31" t="n">
        <v>10</v>
      </c>
      <c r="F61" s="31" t="n">
        <v>10</v>
      </c>
      <c r="G61" s="32" t="n">
        <v>0.5</v>
      </c>
      <c r="H61" s="34"/>
      <c r="I61" s="34"/>
      <c r="J61" s="34"/>
      <c r="K61" s="34"/>
      <c r="L61" s="34"/>
      <c r="M61" s="34"/>
      <c r="N61" s="34"/>
      <c r="O61" s="34"/>
      <c r="P61" s="34"/>
      <c r="Q61" s="33" t="s">
        <v>43</v>
      </c>
      <c r="R61" s="34"/>
      <c r="S61" s="34"/>
    </row>
    <row r="62" customFormat="false" ht="15" hidden="false" customHeight="false" outlineLevel="0" collapsed="false">
      <c r="A62" s="30" t="s">
        <v>228</v>
      </c>
      <c r="B62" s="30" t="s">
        <v>229</v>
      </c>
      <c r="C62" s="31" t="s">
        <v>221</v>
      </c>
      <c r="D62" s="31" t="s">
        <v>184</v>
      </c>
      <c r="E62" s="31" t="n">
        <v>10</v>
      </c>
      <c r="F62" s="31" t="n">
        <v>10</v>
      </c>
      <c r="G62" s="32" t="n">
        <v>1</v>
      </c>
      <c r="H62" s="34"/>
      <c r="I62" s="34"/>
      <c r="J62" s="34"/>
      <c r="K62" s="34"/>
      <c r="L62" s="34"/>
      <c r="M62" s="34"/>
      <c r="N62" s="34"/>
      <c r="O62" s="34"/>
      <c r="P62" s="34"/>
      <c r="Q62" s="33" t="s">
        <v>43</v>
      </c>
      <c r="R62" s="34"/>
      <c r="S62" s="34"/>
    </row>
    <row r="63" customFormat="false" ht="15" hidden="false" customHeight="false" outlineLevel="0" collapsed="false">
      <c r="A63" s="30" t="s">
        <v>230</v>
      </c>
      <c r="B63" s="31" t="s">
        <v>231</v>
      </c>
      <c r="C63" s="31" t="s">
        <v>232</v>
      </c>
      <c r="D63" s="31" t="s">
        <v>206</v>
      </c>
      <c r="E63" s="31" t="n">
        <v>10</v>
      </c>
      <c r="F63" s="31" t="n">
        <v>10</v>
      </c>
      <c r="G63" s="32" t="n">
        <v>1</v>
      </c>
      <c r="H63" s="34"/>
      <c r="I63" s="34"/>
      <c r="J63" s="34"/>
      <c r="K63" s="34"/>
      <c r="L63" s="34"/>
      <c r="M63" s="34"/>
      <c r="N63" s="34"/>
      <c r="O63" s="34"/>
      <c r="P63" s="34"/>
      <c r="Q63" s="33" t="s">
        <v>43</v>
      </c>
      <c r="R63" s="34"/>
      <c r="S63" s="34"/>
    </row>
    <row r="64" customFormat="false" ht="15" hidden="false" customHeight="false" outlineLevel="0" collapsed="false">
      <c r="A64" s="35" t="s">
        <v>233</v>
      </c>
      <c r="B64" s="36" t="s">
        <v>234</v>
      </c>
      <c r="C64" s="36" t="s">
        <v>235</v>
      </c>
      <c r="D64" s="35" t="s">
        <v>106</v>
      </c>
      <c r="E64" s="36" t="n">
        <v>10</v>
      </c>
      <c r="F64" s="36" t="n">
        <v>10</v>
      </c>
      <c r="G64" s="37" t="s">
        <v>79</v>
      </c>
      <c r="H64" s="34"/>
      <c r="I64" s="34"/>
      <c r="J64" s="34"/>
      <c r="K64" s="34"/>
      <c r="L64" s="34"/>
      <c r="M64" s="34"/>
      <c r="N64" s="34"/>
      <c r="O64" s="34"/>
      <c r="P64" s="34"/>
      <c r="Q64" s="38" t="s">
        <v>43</v>
      </c>
      <c r="R64" s="34"/>
      <c r="S64" s="34"/>
    </row>
    <row r="65" customFormat="false" ht="15" hidden="false" customHeight="false" outlineLevel="0" collapsed="false">
      <c r="A65" s="31"/>
      <c r="B65" s="46" t="s">
        <v>236</v>
      </c>
      <c r="C65" s="31"/>
      <c r="D65" s="31" t="s">
        <v>116</v>
      </c>
      <c r="E65" s="31" t="n">
        <v>10</v>
      </c>
      <c r="F65" s="31" t="n">
        <v>10</v>
      </c>
      <c r="G65" s="31"/>
      <c r="H65" s="34"/>
      <c r="I65" s="34"/>
      <c r="J65" s="34"/>
      <c r="K65" s="34"/>
      <c r="L65" s="34"/>
      <c r="M65" s="34"/>
      <c r="N65" s="34"/>
      <c r="O65" s="34"/>
      <c r="P65" s="34"/>
      <c r="Q65" s="41" t="s">
        <v>68</v>
      </c>
      <c r="R65" s="34"/>
      <c r="S65" s="34"/>
    </row>
    <row r="66" customFormat="false" ht="15" hidden="false" customHeight="false" outlineLevel="0" collapsed="false">
      <c r="A66" s="28" t="s">
        <v>237</v>
      </c>
      <c r="B66" s="29" t="s">
        <v>238</v>
      </c>
      <c r="C66" s="29"/>
      <c r="D66" s="29"/>
      <c r="E66" s="29" t="n">
        <v>6</v>
      </c>
      <c r="F66" s="29" t="n">
        <v>11</v>
      </c>
      <c r="G66" s="29" t="n">
        <f aca="false">SUM(G67:G80)</f>
        <v>8.7</v>
      </c>
      <c r="H66" s="39"/>
      <c r="I66" s="39"/>
      <c r="J66" s="39"/>
      <c r="K66" s="39"/>
      <c r="L66" s="39"/>
      <c r="M66" s="24" t="s">
        <v>43</v>
      </c>
      <c r="N66" s="24" t="s">
        <v>43</v>
      </c>
      <c r="O66" s="24" t="s">
        <v>43</v>
      </c>
      <c r="P66" s="24" t="s">
        <v>43</v>
      </c>
      <c r="Q66" s="24" t="s">
        <v>43</v>
      </c>
      <c r="R66" s="24" t="s">
        <v>43</v>
      </c>
      <c r="S66" s="39"/>
    </row>
    <row r="67" customFormat="false" ht="15" hidden="false" customHeight="false" outlineLevel="0" collapsed="false">
      <c r="A67" s="30" t="s">
        <v>239</v>
      </c>
      <c r="B67" s="31" t="s">
        <v>240</v>
      </c>
      <c r="C67" s="31" t="s">
        <v>241</v>
      </c>
      <c r="D67" s="31" t="s">
        <v>242</v>
      </c>
      <c r="E67" s="31" t="n">
        <v>6</v>
      </c>
      <c r="F67" s="31" t="n">
        <v>6</v>
      </c>
      <c r="G67" s="32" t="n">
        <v>1</v>
      </c>
      <c r="H67" s="34"/>
      <c r="I67" s="34"/>
      <c r="J67" s="34"/>
      <c r="K67" s="34"/>
      <c r="L67" s="34"/>
      <c r="M67" s="33" t="s">
        <v>43</v>
      </c>
      <c r="N67" s="34"/>
      <c r="O67" s="34"/>
      <c r="P67" s="34"/>
      <c r="Q67" s="34"/>
      <c r="R67" s="34"/>
      <c r="S67" s="34"/>
    </row>
    <row r="68" customFormat="false" ht="15" hidden="false" customHeight="false" outlineLevel="0" collapsed="false">
      <c r="A68" s="30" t="s">
        <v>243</v>
      </c>
      <c r="B68" s="31" t="s">
        <v>244</v>
      </c>
      <c r="C68" s="31" t="s">
        <v>245</v>
      </c>
      <c r="D68" s="31" t="s">
        <v>129</v>
      </c>
      <c r="E68" s="31" t="n">
        <v>6</v>
      </c>
      <c r="F68" s="31" t="n">
        <v>7</v>
      </c>
      <c r="G68" s="32" t="n">
        <v>1</v>
      </c>
      <c r="H68" s="34"/>
      <c r="I68" s="34"/>
      <c r="J68" s="34"/>
      <c r="K68" s="34"/>
      <c r="L68" s="34"/>
      <c r="M68" s="33" t="s">
        <v>43</v>
      </c>
      <c r="N68" s="33" t="s">
        <v>43</v>
      </c>
      <c r="O68" s="34"/>
      <c r="P68" s="34"/>
      <c r="Q68" s="34"/>
      <c r="R68" s="34"/>
      <c r="S68" s="34"/>
    </row>
    <row r="69" customFormat="false" ht="15" hidden="false" customHeight="false" outlineLevel="0" collapsed="false">
      <c r="A69" s="42" t="s">
        <v>246</v>
      </c>
      <c r="B69" s="43" t="s">
        <v>247</v>
      </c>
      <c r="C69" s="43" t="s">
        <v>248</v>
      </c>
      <c r="D69" s="43" t="s">
        <v>125</v>
      </c>
      <c r="E69" s="43" t="n">
        <v>7</v>
      </c>
      <c r="F69" s="43" t="n">
        <v>11</v>
      </c>
      <c r="G69" s="44" t="s">
        <v>79</v>
      </c>
      <c r="H69" s="34"/>
      <c r="I69" s="34"/>
      <c r="J69" s="34"/>
      <c r="K69" s="34"/>
      <c r="L69" s="34"/>
      <c r="M69" s="34"/>
      <c r="N69" s="45" t="s">
        <v>43</v>
      </c>
      <c r="O69" s="45" t="s">
        <v>43</v>
      </c>
      <c r="P69" s="45" t="s">
        <v>43</v>
      </c>
      <c r="Q69" s="45" t="s">
        <v>43</v>
      </c>
      <c r="R69" s="45" t="s">
        <v>43</v>
      </c>
      <c r="S69" s="34"/>
    </row>
    <row r="70" customFormat="false" ht="15" hidden="false" customHeight="false" outlineLevel="0" collapsed="false">
      <c r="A70" s="30" t="s">
        <v>249</v>
      </c>
      <c r="B70" s="31" t="s">
        <v>250</v>
      </c>
      <c r="C70" s="31" t="s">
        <v>251</v>
      </c>
      <c r="D70" s="31" t="s">
        <v>242</v>
      </c>
      <c r="E70" s="31" t="n">
        <v>7</v>
      </c>
      <c r="F70" s="31" t="n">
        <v>8</v>
      </c>
      <c r="G70" s="32" t="n">
        <v>1</v>
      </c>
      <c r="H70" s="34"/>
      <c r="I70" s="34"/>
      <c r="J70" s="34"/>
      <c r="K70" s="34"/>
      <c r="L70" s="34"/>
      <c r="M70" s="34"/>
      <c r="N70" s="33" t="s">
        <v>43</v>
      </c>
      <c r="O70" s="33" t="s">
        <v>43</v>
      </c>
      <c r="P70" s="34"/>
      <c r="Q70" s="34"/>
      <c r="R70" s="34"/>
      <c r="S70" s="34"/>
    </row>
    <row r="71" customFormat="false" ht="15" hidden="false" customHeight="false" outlineLevel="0" collapsed="false">
      <c r="A71" s="35" t="s">
        <v>252</v>
      </c>
      <c r="B71" s="36" t="s">
        <v>253</v>
      </c>
      <c r="C71" s="36" t="s">
        <v>254</v>
      </c>
      <c r="D71" s="35" t="s">
        <v>132</v>
      </c>
      <c r="E71" s="36" t="n">
        <v>7</v>
      </c>
      <c r="F71" s="36" t="n">
        <v>8</v>
      </c>
      <c r="G71" s="37" t="s">
        <v>79</v>
      </c>
      <c r="H71" s="34"/>
      <c r="I71" s="34"/>
      <c r="J71" s="34"/>
      <c r="K71" s="34"/>
      <c r="L71" s="34"/>
      <c r="M71" s="34"/>
      <c r="N71" s="38" t="s">
        <v>43</v>
      </c>
      <c r="O71" s="38" t="s">
        <v>43</v>
      </c>
      <c r="P71" s="34"/>
      <c r="Q71" s="34"/>
      <c r="R71" s="34"/>
      <c r="S71" s="34"/>
    </row>
    <row r="72" customFormat="false" ht="15" hidden="false" customHeight="false" outlineLevel="0" collapsed="false">
      <c r="A72" s="30" t="s">
        <v>255</v>
      </c>
      <c r="B72" s="31" t="s">
        <v>256</v>
      </c>
      <c r="C72" s="31" t="s">
        <v>257</v>
      </c>
      <c r="D72" s="31" t="s">
        <v>242</v>
      </c>
      <c r="E72" s="31" t="n">
        <v>7</v>
      </c>
      <c r="F72" s="31" t="n">
        <v>8</v>
      </c>
      <c r="G72" s="32" t="n">
        <v>1.5</v>
      </c>
      <c r="H72" s="34"/>
      <c r="I72" s="34"/>
      <c r="J72" s="34"/>
      <c r="K72" s="34"/>
      <c r="L72" s="34"/>
      <c r="M72" s="34"/>
      <c r="N72" s="33" t="s">
        <v>43</v>
      </c>
      <c r="O72" s="33" t="s">
        <v>43</v>
      </c>
      <c r="P72" s="34"/>
      <c r="Q72" s="34"/>
      <c r="R72" s="34"/>
      <c r="S72" s="34"/>
    </row>
    <row r="73" customFormat="false" ht="15" hidden="false" customHeight="false" outlineLevel="0" collapsed="false">
      <c r="A73" s="30" t="s">
        <v>258</v>
      </c>
      <c r="B73" s="31" t="s">
        <v>259</v>
      </c>
      <c r="C73" s="31" t="s">
        <v>260</v>
      </c>
      <c r="D73" s="31" t="s">
        <v>242</v>
      </c>
      <c r="E73" s="31" t="n">
        <v>9</v>
      </c>
      <c r="F73" s="31" t="n">
        <v>9</v>
      </c>
      <c r="G73" s="32" t="n">
        <v>1</v>
      </c>
      <c r="H73" s="34"/>
      <c r="I73" s="34"/>
      <c r="J73" s="34"/>
      <c r="K73" s="34"/>
      <c r="L73" s="34"/>
      <c r="M73" s="34"/>
      <c r="N73" s="34"/>
      <c r="O73" s="34"/>
      <c r="P73" s="33" t="s">
        <v>43</v>
      </c>
      <c r="Q73" s="34"/>
      <c r="R73" s="34"/>
      <c r="S73" s="34"/>
    </row>
    <row r="74" customFormat="false" ht="15" hidden="false" customHeight="false" outlineLevel="0" collapsed="false">
      <c r="A74" s="30" t="s">
        <v>261</v>
      </c>
      <c r="B74" s="31" t="s">
        <v>262</v>
      </c>
      <c r="C74" s="31" t="s">
        <v>260</v>
      </c>
      <c r="D74" s="31" t="s">
        <v>242</v>
      </c>
      <c r="E74" s="31" t="n">
        <v>10</v>
      </c>
      <c r="F74" s="31" t="n">
        <v>10</v>
      </c>
      <c r="G74" s="32" t="n">
        <v>1</v>
      </c>
      <c r="H74" s="34"/>
      <c r="I74" s="34"/>
      <c r="J74" s="34"/>
      <c r="K74" s="34"/>
      <c r="L74" s="34"/>
      <c r="M74" s="34"/>
      <c r="N74" s="34"/>
      <c r="O74" s="34"/>
      <c r="P74" s="34"/>
      <c r="Q74" s="33" t="s">
        <v>43</v>
      </c>
      <c r="R74" s="34"/>
      <c r="S74" s="34"/>
    </row>
    <row r="75" customFormat="false" ht="15" hidden="false" customHeight="false" outlineLevel="0" collapsed="false">
      <c r="A75" s="30" t="s">
        <v>263</v>
      </c>
      <c r="B75" s="31" t="s">
        <v>264</v>
      </c>
      <c r="C75" s="31" t="s">
        <v>265</v>
      </c>
      <c r="D75" s="31" t="s">
        <v>114</v>
      </c>
      <c r="E75" s="31" t="n">
        <v>10</v>
      </c>
      <c r="F75" s="31" t="n">
        <v>10</v>
      </c>
      <c r="G75" s="32" t="n">
        <v>0.5</v>
      </c>
      <c r="H75" s="34"/>
      <c r="I75" s="34"/>
      <c r="J75" s="34"/>
      <c r="K75" s="34"/>
      <c r="L75" s="34"/>
      <c r="M75" s="34"/>
      <c r="N75" s="34"/>
      <c r="O75" s="34"/>
      <c r="P75" s="34"/>
      <c r="Q75" s="33" t="s">
        <v>43</v>
      </c>
      <c r="R75" s="34"/>
      <c r="S75" s="34"/>
    </row>
    <row r="76" customFormat="false" ht="15" hidden="false" customHeight="false" outlineLevel="0" collapsed="false">
      <c r="A76" s="30" t="s">
        <v>266</v>
      </c>
      <c r="B76" s="31" t="s">
        <v>267</v>
      </c>
      <c r="C76" s="31" t="s">
        <v>268</v>
      </c>
      <c r="D76" s="30" t="s">
        <v>74</v>
      </c>
      <c r="E76" s="31" t="n">
        <v>11</v>
      </c>
      <c r="F76" s="31" t="n">
        <v>11</v>
      </c>
      <c r="G76" s="32" t="n">
        <v>0.2</v>
      </c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3" t="s">
        <v>43</v>
      </c>
      <c r="S76" s="34"/>
    </row>
    <row r="77" customFormat="false" ht="15" hidden="false" customHeight="false" outlineLevel="0" collapsed="false">
      <c r="A77" s="35" t="s">
        <v>269</v>
      </c>
      <c r="B77" s="36" t="s">
        <v>270</v>
      </c>
      <c r="C77" s="36" t="s">
        <v>271</v>
      </c>
      <c r="D77" s="35" t="s">
        <v>78</v>
      </c>
      <c r="E77" s="36" t="n">
        <v>11</v>
      </c>
      <c r="F77" s="36" t="n">
        <v>11</v>
      </c>
      <c r="G77" s="37" t="s">
        <v>79</v>
      </c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8" t="s">
        <v>43</v>
      </c>
      <c r="S77" s="34"/>
    </row>
    <row r="78" customFormat="false" ht="15" hidden="false" customHeight="false" outlineLevel="0" collapsed="false">
      <c r="A78" s="30" t="s">
        <v>272</v>
      </c>
      <c r="B78" s="31" t="s">
        <v>273</v>
      </c>
      <c r="C78" s="31" t="s">
        <v>274</v>
      </c>
      <c r="D78" s="31" t="s">
        <v>242</v>
      </c>
      <c r="E78" s="31" t="n">
        <v>11</v>
      </c>
      <c r="F78" s="31" t="n">
        <v>11</v>
      </c>
      <c r="G78" s="32" t="n">
        <v>0.5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3" t="s">
        <v>43</v>
      </c>
      <c r="S78" s="34"/>
    </row>
    <row r="79" customFormat="false" ht="15" hidden="false" customHeight="false" outlineLevel="0" collapsed="false">
      <c r="A79" s="30" t="s">
        <v>275</v>
      </c>
      <c r="B79" s="31" t="s">
        <v>276</v>
      </c>
      <c r="C79" s="31" t="s">
        <v>277</v>
      </c>
      <c r="D79" s="31" t="s">
        <v>114</v>
      </c>
      <c r="E79" s="31" t="n">
        <v>11</v>
      </c>
      <c r="F79" s="31" t="n">
        <v>11</v>
      </c>
      <c r="G79" s="32" t="n">
        <v>1</v>
      </c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3" t="s">
        <v>43</v>
      </c>
      <c r="S79" s="34"/>
    </row>
    <row r="80" customFormat="false" ht="15" hidden="false" customHeight="false" outlineLevel="0" collapsed="false">
      <c r="A80" s="31"/>
      <c r="B80" s="46" t="s">
        <v>278</v>
      </c>
      <c r="C80" s="31"/>
      <c r="D80" s="31" t="s">
        <v>116</v>
      </c>
      <c r="E80" s="31" t="n">
        <v>11</v>
      </c>
      <c r="F80" s="31" t="n">
        <v>11</v>
      </c>
      <c r="G80" s="31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41" t="s">
        <v>68</v>
      </c>
      <c r="S80" s="34"/>
    </row>
    <row r="81" customFormat="false" ht="15" hidden="false" customHeight="false" outlineLevel="0" collapsed="false">
      <c r="A81" s="28" t="s">
        <v>279</v>
      </c>
      <c r="B81" s="29" t="s">
        <v>280</v>
      </c>
      <c r="C81" s="29"/>
      <c r="D81" s="29"/>
      <c r="E81" s="29" t="n">
        <v>9</v>
      </c>
      <c r="F81" s="29" t="n">
        <v>12</v>
      </c>
      <c r="G81" s="29" t="n">
        <f aca="false">SUM(G82:G92)</f>
        <v>4.8</v>
      </c>
      <c r="H81" s="39"/>
      <c r="I81" s="39"/>
      <c r="J81" s="39"/>
      <c r="K81" s="39"/>
      <c r="L81" s="39"/>
      <c r="M81" s="39"/>
      <c r="N81" s="39"/>
      <c r="O81" s="39"/>
      <c r="P81" s="24" t="s">
        <v>43</v>
      </c>
      <c r="Q81" s="24" t="s">
        <v>43</v>
      </c>
      <c r="R81" s="24" t="s">
        <v>43</v>
      </c>
      <c r="S81" s="24" t="s">
        <v>43</v>
      </c>
    </row>
    <row r="82" customFormat="false" ht="15" hidden="false" customHeight="false" outlineLevel="0" collapsed="false">
      <c r="A82" s="30" t="s">
        <v>281</v>
      </c>
      <c r="B82" s="31" t="s">
        <v>282</v>
      </c>
      <c r="C82" s="31" t="s">
        <v>283</v>
      </c>
      <c r="D82" s="31" t="s">
        <v>129</v>
      </c>
      <c r="E82" s="31" t="n">
        <v>9</v>
      </c>
      <c r="F82" s="31" t="n">
        <v>10</v>
      </c>
      <c r="G82" s="32" t="n">
        <v>1</v>
      </c>
      <c r="H82" s="34"/>
      <c r="I82" s="34"/>
      <c r="J82" s="34"/>
      <c r="K82" s="34"/>
      <c r="L82" s="34"/>
      <c r="M82" s="34"/>
      <c r="N82" s="34"/>
      <c r="O82" s="34"/>
      <c r="P82" s="33" t="s">
        <v>43</v>
      </c>
      <c r="Q82" s="33" t="s">
        <v>43</v>
      </c>
      <c r="R82" s="34"/>
      <c r="S82" s="34"/>
    </row>
    <row r="83" customFormat="false" ht="15" hidden="false" customHeight="false" outlineLevel="0" collapsed="false">
      <c r="A83" s="30" t="s">
        <v>284</v>
      </c>
      <c r="B83" s="31" t="s">
        <v>285</v>
      </c>
      <c r="C83" s="31" t="s">
        <v>286</v>
      </c>
      <c r="D83" s="31" t="s">
        <v>129</v>
      </c>
      <c r="E83" s="31" t="n">
        <v>11</v>
      </c>
      <c r="F83" s="31" t="n">
        <v>11</v>
      </c>
      <c r="G83" s="32" t="n">
        <v>0.5</v>
      </c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3" t="s">
        <v>43</v>
      </c>
      <c r="S83" s="34"/>
    </row>
    <row r="84" customFormat="false" ht="15" hidden="false" customHeight="false" outlineLevel="0" collapsed="false">
      <c r="A84" s="35" t="s">
        <v>287</v>
      </c>
      <c r="B84" s="36" t="s">
        <v>288</v>
      </c>
      <c r="C84" s="35" t="s">
        <v>79</v>
      </c>
      <c r="D84" s="35" t="s">
        <v>132</v>
      </c>
      <c r="E84" s="36" t="n">
        <v>10</v>
      </c>
      <c r="F84" s="36" t="n">
        <v>11</v>
      </c>
      <c r="G84" s="37" t="s">
        <v>79</v>
      </c>
      <c r="H84" s="34"/>
      <c r="I84" s="34"/>
      <c r="J84" s="34"/>
      <c r="K84" s="34"/>
      <c r="L84" s="34"/>
      <c r="M84" s="34"/>
      <c r="N84" s="34"/>
      <c r="O84" s="34"/>
      <c r="P84" s="34"/>
      <c r="Q84" s="38" t="s">
        <v>43</v>
      </c>
      <c r="R84" s="38" t="s">
        <v>43</v>
      </c>
      <c r="S84" s="34"/>
    </row>
    <row r="85" customFormat="false" ht="15" hidden="false" customHeight="false" outlineLevel="0" collapsed="false">
      <c r="A85" s="30" t="s">
        <v>289</v>
      </c>
      <c r="B85" s="31" t="s">
        <v>290</v>
      </c>
      <c r="C85" s="31" t="s">
        <v>291</v>
      </c>
      <c r="D85" s="31" t="s">
        <v>114</v>
      </c>
      <c r="E85" s="31" t="n">
        <v>10</v>
      </c>
      <c r="F85" s="31" t="n">
        <v>11</v>
      </c>
      <c r="G85" s="32" t="n">
        <v>1.5</v>
      </c>
      <c r="H85" s="34"/>
      <c r="I85" s="34"/>
      <c r="J85" s="34"/>
      <c r="K85" s="34"/>
      <c r="L85" s="34"/>
      <c r="M85" s="34"/>
      <c r="N85" s="34"/>
      <c r="O85" s="34"/>
      <c r="P85" s="34"/>
      <c r="Q85" s="33" t="s">
        <v>43</v>
      </c>
      <c r="R85" s="33" t="s">
        <v>43</v>
      </c>
      <c r="S85" s="34"/>
    </row>
    <row r="86" customFormat="false" ht="15" hidden="false" customHeight="false" outlineLevel="0" collapsed="false">
      <c r="A86" s="35" t="s">
        <v>292</v>
      </c>
      <c r="B86" s="36" t="s">
        <v>293</v>
      </c>
      <c r="C86" s="36" t="s">
        <v>294</v>
      </c>
      <c r="D86" s="35" t="s">
        <v>110</v>
      </c>
      <c r="E86" s="36" t="n">
        <v>11</v>
      </c>
      <c r="F86" s="36" t="n">
        <v>12</v>
      </c>
      <c r="G86" s="37" t="s">
        <v>79</v>
      </c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8" t="s">
        <v>43</v>
      </c>
      <c r="S86" s="38" t="s">
        <v>43</v>
      </c>
    </row>
    <row r="87" customFormat="false" ht="15" hidden="false" customHeight="false" outlineLevel="0" collapsed="false">
      <c r="A87" s="30" t="s">
        <v>295</v>
      </c>
      <c r="B87" s="31" t="s">
        <v>296</v>
      </c>
      <c r="C87" s="31" t="s">
        <v>297</v>
      </c>
      <c r="D87" s="31" t="s">
        <v>129</v>
      </c>
      <c r="E87" s="31" t="n">
        <v>12</v>
      </c>
      <c r="F87" s="31" t="n">
        <v>12</v>
      </c>
      <c r="G87" s="32" t="n">
        <v>1</v>
      </c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3" t="s">
        <v>43</v>
      </c>
    </row>
    <row r="88" customFormat="false" ht="15" hidden="false" customHeight="false" outlineLevel="0" collapsed="false">
      <c r="A88" s="30" t="s">
        <v>298</v>
      </c>
      <c r="B88" s="31" t="s">
        <v>299</v>
      </c>
      <c r="C88" s="31" t="s">
        <v>300</v>
      </c>
      <c r="D88" s="31" t="s">
        <v>114</v>
      </c>
      <c r="E88" s="31" t="n">
        <v>12</v>
      </c>
      <c r="F88" s="31" t="n">
        <v>12</v>
      </c>
      <c r="G88" s="32" t="n">
        <v>0.5</v>
      </c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3" t="s">
        <v>43</v>
      </c>
    </row>
    <row r="89" customFormat="false" ht="15" hidden="false" customHeight="false" outlineLevel="0" collapsed="false">
      <c r="A89" s="42" t="s">
        <v>301</v>
      </c>
      <c r="B89" s="43" t="s">
        <v>302</v>
      </c>
      <c r="C89" s="42" t="s">
        <v>79</v>
      </c>
      <c r="D89" s="43" t="s">
        <v>125</v>
      </c>
      <c r="E89" s="43" t="n">
        <v>11</v>
      </c>
      <c r="F89" s="43" t="n">
        <v>12</v>
      </c>
      <c r="G89" s="44" t="s">
        <v>79</v>
      </c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45" t="s">
        <v>43</v>
      </c>
      <c r="S89" s="45" t="s">
        <v>43</v>
      </c>
    </row>
    <row r="90" customFormat="false" ht="15" hidden="false" customHeight="false" outlineLevel="0" collapsed="false">
      <c r="A90" s="30" t="s">
        <v>303</v>
      </c>
      <c r="B90" s="31" t="s">
        <v>304</v>
      </c>
      <c r="C90" s="31" t="s">
        <v>305</v>
      </c>
      <c r="D90" s="30" t="s">
        <v>74</v>
      </c>
      <c r="E90" s="31" t="n">
        <v>12</v>
      </c>
      <c r="F90" s="31" t="n">
        <v>12</v>
      </c>
      <c r="G90" s="32" t="n">
        <v>0.3</v>
      </c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3" t="s">
        <v>43</v>
      </c>
    </row>
    <row r="91" customFormat="false" ht="15" hidden="false" customHeight="false" outlineLevel="0" collapsed="false">
      <c r="A91" s="35" t="s">
        <v>306</v>
      </c>
      <c r="B91" s="36" t="s">
        <v>307</v>
      </c>
      <c r="C91" s="36" t="s">
        <v>308</v>
      </c>
      <c r="D91" s="35" t="s">
        <v>110</v>
      </c>
      <c r="E91" s="36" t="n">
        <v>12</v>
      </c>
      <c r="F91" s="36" t="n">
        <v>12</v>
      </c>
      <c r="G91" s="37" t="s">
        <v>79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8" t="s">
        <v>43</v>
      </c>
    </row>
    <row r="92" customFormat="false" ht="15" hidden="false" customHeight="false" outlineLevel="0" collapsed="false">
      <c r="A92" s="31"/>
      <c r="B92" s="46" t="s">
        <v>309</v>
      </c>
      <c r="C92" s="31"/>
      <c r="D92" s="31" t="s">
        <v>116</v>
      </c>
      <c r="E92" s="31" t="n">
        <v>12</v>
      </c>
      <c r="F92" s="31" t="n">
        <v>12</v>
      </c>
      <c r="G92" s="31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41" t="s">
        <v>68</v>
      </c>
    </row>
    <row r="93" customFormat="false" ht="15" hidden="false" customHeight="false" outlineLevel="0" collapsed="false">
      <c r="A93" s="47"/>
      <c r="B93" s="11" t="s">
        <v>310</v>
      </c>
      <c r="C93" s="48" t="str">
        <f aca="false">IF(ABS(G93-要員計画!D34)&lt;0.001,"要員計画と一致","要員計画と不一致")</f>
        <v>要員計画と一致</v>
      </c>
      <c r="D93" s="47"/>
      <c r="E93" s="47"/>
      <c r="F93" s="47"/>
      <c r="G93" s="11" t="n">
        <f aca="false">G6+G14+G21+G33+G40+G47+G53+G66+G81</f>
        <v>69.5</v>
      </c>
    </row>
    <row r="95" customFormat="false" ht="15" hidden="false" customHeight="false" outlineLevel="0" collapsed="false">
      <c r="B95" s="49" t="s">
        <v>311</v>
      </c>
    </row>
    <row r="96" customFormat="false" ht="15" hidden="false" customHeight="false" outlineLevel="0" collapsed="false">
      <c r="B96" s="49" t="s">
        <v>312</v>
      </c>
    </row>
  </sheetData>
  <mergeCells count="4">
    <mergeCell ref="I2:J2"/>
    <mergeCell ref="L2:M2"/>
    <mergeCell ref="O2:P2"/>
    <mergeCell ref="R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B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8" min="2" style="0" width="4.6"/>
  </cols>
  <sheetData>
    <row r="1" customFormat="false" ht="17.35" hidden="false" customHeight="false" outlineLevel="0" collapsed="false">
      <c r="B1" s="50" t="s">
        <v>313</v>
      </c>
    </row>
    <row r="3" customFormat="false" ht="16.5" hidden="false" customHeight="true" outlineLevel="0" collapsed="false">
      <c r="B3" s="51" t="s">
        <v>314</v>
      </c>
      <c r="C3" s="51"/>
      <c r="D3" s="51"/>
      <c r="E3" s="51"/>
      <c r="F3" s="51"/>
      <c r="H3" s="2" t="s">
        <v>315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52" t="s">
        <v>316</v>
      </c>
      <c r="Y3" s="52"/>
      <c r="Z3" s="52"/>
      <c r="AA3" s="52"/>
      <c r="AB3" s="52"/>
    </row>
    <row r="4" customFormat="false" ht="16.5" hidden="false" customHeight="true" outlineLevel="0" collapsed="false"/>
    <row r="5" customFormat="false" ht="16.5" hidden="false" customHeight="true" outlineLevel="0" collapsed="false">
      <c r="B5" s="53" t="s">
        <v>317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 customFormat="false" ht="16.5" hidden="false" customHeight="true" outlineLevel="0" collapsed="false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customFormat="false" ht="16.5" hidden="false" customHeight="true" outlineLevel="0" collapsed="false">
      <c r="B7" s="54" t="s">
        <v>318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customFormat="false" ht="16.5" hidden="false" customHeight="true" outlineLevel="0" collapsed="false">
      <c r="B8" s="55" t="s">
        <v>319</v>
      </c>
      <c r="C8" s="55"/>
      <c r="D8" s="55"/>
      <c r="E8" s="55"/>
      <c r="F8" s="55"/>
      <c r="H8" s="56" t="s">
        <v>320</v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X8" s="57" t="s">
        <v>321</v>
      </c>
      <c r="Y8" s="57"/>
      <c r="Z8" s="57"/>
      <c r="AA8" s="57"/>
      <c r="AB8" s="57"/>
    </row>
    <row r="9" customFormat="false" ht="16.5" hidden="false" customHeight="true" outlineLevel="0" collapsed="false">
      <c r="B9" s="55"/>
      <c r="C9" s="55"/>
      <c r="D9" s="55"/>
      <c r="E9" s="55"/>
      <c r="F9" s="55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X9" s="57"/>
      <c r="Y9" s="57"/>
      <c r="Z9" s="57"/>
      <c r="AA9" s="57"/>
      <c r="AB9" s="57"/>
    </row>
    <row r="10" customFormat="false" ht="16.5" hidden="false" customHeight="true" outlineLevel="0" collapsed="false">
      <c r="B10" s="55"/>
      <c r="C10" s="55"/>
      <c r="D10" s="55"/>
      <c r="E10" s="55"/>
      <c r="F10" s="55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X10" s="57"/>
      <c r="Y10" s="57"/>
      <c r="Z10" s="57"/>
      <c r="AA10" s="57"/>
      <c r="AB10" s="57"/>
    </row>
    <row r="11" customFormat="false" ht="16.5" hidden="false" customHeight="true" outlineLevel="0" collapsed="false">
      <c r="E11" s="58" t="s">
        <v>322</v>
      </c>
      <c r="O11" s="58" t="s">
        <v>322</v>
      </c>
      <c r="Z11" s="58" t="s">
        <v>322</v>
      </c>
    </row>
    <row r="12" customFormat="false" ht="16.5" hidden="false" customHeight="true" outlineLevel="0" collapsed="false">
      <c r="B12" s="55" t="s">
        <v>323</v>
      </c>
      <c r="C12" s="55"/>
      <c r="D12" s="55"/>
      <c r="E12" s="55"/>
      <c r="F12" s="55"/>
      <c r="G12" s="59" t="s">
        <v>324</v>
      </c>
      <c r="H12" s="60" t="s">
        <v>325</v>
      </c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59" t="s">
        <v>326</v>
      </c>
      <c r="X12" s="57" t="s">
        <v>327</v>
      </c>
      <c r="Y12" s="57"/>
      <c r="Z12" s="57"/>
      <c r="AA12" s="57"/>
      <c r="AB12" s="57"/>
    </row>
    <row r="13" customFormat="false" ht="16.5" hidden="false" customHeight="true" outlineLevel="0" collapsed="false">
      <c r="B13" s="55"/>
      <c r="C13" s="55"/>
      <c r="D13" s="55"/>
      <c r="E13" s="55"/>
      <c r="F13" s="55"/>
      <c r="G13" s="59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59"/>
      <c r="X13" s="57"/>
      <c r="Y13" s="57"/>
      <c r="Z13" s="57"/>
      <c r="AA13" s="57"/>
      <c r="AB13" s="57"/>
    </row>
    <row r="14" customFormat="false" ht="16.5" hidden="false" customHeight="true" outlineLevel="0" collapsed="false">
      <c r="B14" s="55"/>
      <c r="C14" s="55"/>
      <c r="D14" s="55"/>
      <c r="E14" s="55"/>
      <c r="F14" s="55"/>
      <c r="G14" s="59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59"/>
      <c r="X14" s="57"/>
      <c r="Y14" s="57"/>
      <c r="Z14" s="57"/>
      <c r="AA14" s="57"/>
      <c r="AB14" s="57"/>
    </row>
    <row r="15" customFormat="false" ht="16.5" hidden="false" customHeight="true" outlineLevel="0" collapsed="false">
      <c r="B15" s="55"/>
      <c r="C15" s="55"/>
      <c r="D15" s="55"/>
      <c r="E15" s="55"/>
      <c r="F15" s="55"/>
      <c r="G15" s="59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59"/>
      <c r="X15" s="57"/>
      <c r="Y15" s="57"/>
      <c r="Z15" s="57"/>
      <c r="AA15" s="57"/>
      <c r="AB15" s="57"/>
    </row>
    <row r="16" customFormat="false" ht="16.5" hidden="false" customHeight="true" outlineLevel="0" collapsed="false">
      <c r="O16" s="58" t="s">
        <v>322</v>
      </c>
    </row>
    <row r="17" customFormat="false" ht="18.75" hidden="false" customHeight="true" outlineLevel="0" collapsed="false">
      <c r="B17" s="61" t="s">
        <v>328</v>
      </c>
      <c r="C17" s="61"/>
      <c r="D17" s="61"/>
      <c r="E17" s="61"/>
      <c r="F17" s="61"/>
      <c r="H17" s="62" t="s">
        <v>329</v>
      </c>
      <c r="I17" s="62"/>
      <c r="J17" s="62"/>
      <c r="K17" s="62" t="s">
        <v>330</v>
      </c>
      <c r="L17" s="62"/>
      <c r="M17" s="62"/>
      <c r="N17" s="62" t="s">
        <v>331</v>
      </c>
      <c r="O17" s="62"/>
      <c r="P17" s="62"/>
      <c r="Q17" s="62" t="s">
        <v>332</v>
      </c>
      <c r="R17" s="62"/>
      <c r="S17" s="62"/>
      <c r="T17" s="62" t="s">
        <v>333</v>
      </c>
      <c r="U17" s="62"/>
      <c r="V17" s="62"/>
      <c r="X17" s="63" t="s">
        <v>334</v>
      </c>
      <c r="Y17" s="63"/>
      <c r="Z17" s="63"/>
      <c r="AA17" s="63"/>
      <c r="AB17" s="63"/>
    </row>
    <row r="18" customFormat="false" ht="18.75" hidden="false" customHeight="true" outlineLevel="0" collapsed="false">
      <c r="B18" s="61"/>
      <c r="C18" s="61"/>
      <c r="D18" s="61"/>
      <c r="E18" s="61"/>
      <c r="F18" s="61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X18" s="63"/>
      <c r="Y18" s="63"/>
      <c r="Z18" s="63"/>
      <c r="AA18" s="63"/>
      <c r="AB18" s="63"/>
    </row>
    <row r="19" customFormat="false" ht="18.75" hidden="false" customHeight="true" outlineLevel="0" collapsed="false">
      <c r="B19" s="61"/>
      <c r="C19" s="61"/>
      <c r="D19" s="61"/>
      <c r="E19" s="61"/>
      <c r="F19" s="61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X19" s="63"/>
      <c r="Y19" s="63"/>
      <c r="Z19" s="63"/>
      <c r="AA19" s="63"/>
      <c r="AB19" s="63"/>
    </row>
    <row r="20" customFormat="false" ht="18.75" hidden="false" customHeight="true" outlineLevel="0" collapsed="false">
      <c r="B20" s="54" t="s">
        <v>335</v>
      </c>
      <c r="C20" s="54"/>
      <c r="D20" s="54"/>
      <c r="E20" s="54"/>
      <c r="F20" s="54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X20" s="63"/>
      <c r="Y20" s="63"/>
      <c r="Z20" s="63"/>
      <c r="AA20" s="63"/>
      <c r="AB20" s="63"/>
    </row>
    <row r="21" customFormat="false" ht="18.75" hidden="false" customHeight="true" outlineLevel="0" collapsed="false">
      <c r="B21" s="55" t="s">
        <v>336</v>
      </c>
      <c r="C21" s="55"/>
      <c r="D21" s="55"/>
      <c r="E21" s="55"/>
      <c r="F21" s="55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X21" s="63"/>
      <c r="Y21" s="63"/>
      <c r="Z21" s="63"/>
      <c r="AA21" s="63"/>
      <c r="AB21" s="63"/>
    </row>
    <row r="22" customFormat="false" ht="18.75" hidden="false" customHeight="true" outlineLevel="0" collapsed="false">
      <c r="B22" s="55"/>
      <c r="C22" s="55"/>
      <c r="D22" s="55"/>
      <c r="E22" s="55"/>
      <c r="F22" s="55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X22" s="63"/>
      <c r="Y22" s="63"/>
      <c r="Z22" s="63"/>
      <c r="AA22" s="63"/>
      <c r="AB22" s="63"/>
    </row>
    <row r="23" customFormat="false" ht="18.75" hidden="false" customHeight="true" outlineLevel="0" collapsed="false">
      <c r="B23" s="55"/>
      <c r="C23" s="55"/>
      <c r="D23" s="55"/>
      <c r="E23" s="55"/>
      <c r="F23" s="55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X23" s="63"/>
      <c r="Y23" s="63"/>
      <c r="Z23" s="63"/>
      <c r="AA23" s="63"/>
      <c r="AB23" s="63"/>
    </row>
    <row r="24" customFormat="false" ht="18.75" hidden="false" customHeight="true" outlineLevel="0" collapsed="false">
      <c r="B24" s="55"/>
      <c r="C24" s="55"/>
      <c r="D24" s="55"/>
      <c r="E24" s="55"/>
      <c r="F24" s="55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X24" s="63"/>
      <c r="Y24" s="63"/>
      <c r="Z24" s="63"/>
      <c r="AA24" s="63"/>
      <c r="AB24" s="63"/>
    </row>
    <row r="25" customFormat="false" ht="18.75" hidden="false" customHeight="true" outlineLevel="0" collapsed="false">
      <c r="B25" s="55"/>
      <c r="C25" s="55"/>
      <c r="D25" s="55"/>
      <c r="E25" s="55"/>
      <c r="F25" s="55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X25" s="63"/>
      <c r="Y25" s="63"/>
      <c r="Z25" s="63"/>
      <c r="AA25" s="63"/>
      <c r="AB25" s="63"/>
    </row>
    <row r="27" customFormat="false" ht="15" hidden="false" customHeight="false" outlineLevel="0" collapsed="false">
      <c r="B27" s="64" t="str">
        <f aca="false">"当社要員：社員 "&amp;要員計画!B33&amp;"名／パートナー "&amp;要員計画!C33&amp;"名　パートナー比率：人数 "&amp;TEXT(要員計画!E33,"0%")&amp;"・人月 "&amp;TEXT(要員計画!E34,"0.0%")&amp;"・月別最大 "&amp;TEXT(要員計画!E36,"0%")&amp;"（上限60%）"</f>
        <v>当社要員：社員 4名／パートナー 6名　パートナー比率：人数 60%・人月 46.0%・月別最大 60%（上限60%）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</row>
    <row r="28" customFormat="false" ht="15" hidden="false" customHeight="false" outlineLevel="0" collapsed="false">
      <c r="B28" s="65" t="s">
        <v>337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</row>
    <row r="30" customFormat="false" ht="15" hidden="false" customHeight="false" outlineLevel="0" collapsed="false">
      <c r="B30" s="66" t="s">
        <v>338</v>
      </c>
    </row>
    <row r="31" customFormat="false" ht="18" hidden="false" customHeight="true" outlineLevel="0" collapsed="false">
      <c r="B31" s="67" t="s">
        <v>339</v>
      </c>
      <c r="C31" s="67"/>
      <c r="D31" s="67"/>
      <c r="E31" s="67"/>
      <c r="F31" s="67"/>
      <c r="G31" s="67" t="s">
        <v>340</v>
      </c>
      <c r="H31" s="67"/>
      <c r="I31" s="67"/>
      <c r="J31" s="67"/>
      <c r="K31" s="67"/>
      <c r="L31" s="67"/>
      <c r="M31" s="67"/>
      <c r="N31" s="67"/>
      <c r="O31" s="67"/>
      <c r="P31" s="67"/>
      <c r="Q31" s="67" t="s">
        <v>341</v>
      </c>
      <c r="R31" s="67"/>
      <c r="S31" s="67"/>
      <c r="T31" s="67"/>
      <c r="U31" s="67"/>
      <c r="V31" s="67" t="s">
        <v>342</v>
      </c>
      <c r="W31" s="67"/>
      <c r="X31" s="67"/>
      <c r="Y31" s="67"/>
      <c r="Z31" s="67"/>
      <c r="AA31" s="67"/>
      <c r="AB31" s="67"/>
    </row>
    <row r="32" customFormat="false" ht="39.75" hidden="false" customHeight="true" outlineLevel="0" collapsed="false">
      <c r="B32" s="68" t="s">
        <v>116</v>
      </c>
      <c r="C32" s="68"/>
      <c r="D32" s="68"/>
      <c r="E32" s="68"/>
      <c r="F32" s="68"/>
      <c r="G32" s="68" t="s">
        <v>343</v>
      </c>
      <c r="H32" s="68"/>
      <c r="I32" s="68"/>
      <c r="J32" s="68"/>
      <c r="K32" s="68"/>
      <c r="L32" s="68"/>
      <c r="M32" s="68"/>
      <c r="N32" s="68"/>
      <c r="O32" s="68"/>
      <c r="P32" s="68"/>
      <c r="Q32" s="68" t="s">
        <v>344</v>
      </c>
      <c r="R32" s="68"/>
      <c r="S32" s="68"/>
      <c r="T32" s="68"/>
      <c r="U32" s="68"/>
      <c r="V32" s="69" t="s">
        <v>345</v>
      </c>
      <c r="W32" s="69"/>
      <c r="X32" s="69"/>
      <c r="Y32" s="69"/>
      <c r="Z32" s="69"/>
      <c r="AA32" s="69"/>
      <c r="AB32" s="69"/>
    </row>
    <row r="33" customFormat="false" ht="39.75" hidden="false" customHeight="true" outlineLevel="0" collapsed="false">
      <c r="B33" s="68" t="s">
        <v>346</v>
      </c>
      <c r="C33" s="68"/>
      <c r="D33" s="68"/>
      <c r="E33" s="68"/>
      <c r="F33" s="68"/>
      <c r="G33" s="68" t="s">
        <v>347</v>
      </c>
      <c r="H33" s="68"/>
      <c r="I33" s="68"/>
      <c r="J33" s="68"/>
      <c r="K33" s="68"/>
      <c r="L33" s="68"/>
      <c r="M33" s="68"/>
      <c r="N33" s="68"/>
      <c r="O33" s="68"/>
      <c r="P33" s="68"/>
      <c r="Q33" s="68" t="s">
        <v>348</v>
      </c>
      <c r="R33" s="68"/>
      <c r="S33" s="68"/>
      <c r="T33" s="68"/>
      <c r="U33" s="68"/>
      <c r="V33" s="69" t="s">
        <v>349</v>
      </c>
      <c r="W33" s="69"/>
      <c r="X33" s="69"/>
      <c r="Y33" s="69"/>
      <c r="Z33" s="69"/>
      <c r="AA33" s="69"/>
      <c r="AB33" s="69"/>
    </row>
    <row r="34" customFormat="false" ht="39.75" hidden="false" customHeight="true" outlineLevel="0" collapsed="false">
      <c r="B34" s="68" t="s">
        <v>350</v>
      </c>
      <c r="C34" s="68"/>
      <c r="D34" s="68"/>
      <c r="E34" s="68"/>
      <c r="F34" s="68"/>
      <c r="G34" s="68" t="s">
        <v>351</v>
      </c>
      <c r="H34" s="68"/>
      <c r="I34" s="68"/>
      <c r="J34" s="68"/>
      <c r="K34" s="68"/>
      <c r="L34" s="68"/>
      <c r="M34" s="68"/>
      <c r="N34" s="68"/>
      <c r="O34" s="68"/>
      <c r="P34" s="68"/>
      <c r="Q34" s="68" t="s">
        <v>352</v>
      </c>
      <c r="R34" s="68"/>
      <c r="S34" s="68"/>
      <c r="T34" s="68"/>
      <c r="U34" s="68"/>
      <c r="V34" s="69" t="s">
        <v>353</v>
      </c>
      <c r="W34" s="69"/>
      <c r="X34" s="69"/>
      <c r="Y34" s="69"/>
      <c r="Z34" s="69"/>
      <c r="AA34" s="69"/>
      <c r="AB34" s="69"/>
    </row>
    <row r="35" customFormat="false" ht="39.75" hidden="false" customHeight="true" outlineLevel="0" collapsed="false">
      <c r="B35" s="68" t="s">
        <v>354</v>
      </c>
      <c r="C35" s="68"/>
      <c r="D35" s="68"/>
      <c r="E35" s="68"/>
      <c r="F35" s="68"/>
      <c r="G35" s="68" t="s">
        <v>355</v>
      </c>
      <c r="H35" s="68"/>
      <c r="I35" s="68"/>
      <c r="J35" s="68"/>
      <c r="K35" s="68"/>
      <c r="L35" s="68"/>
      <c r="M35" s="68"/>
      <c r="N35" s="68"/>
      <c r="O35" s="68"/>
      <c r="P35" s="68"/>
      <c r="Q35" s="68" t="s">
        <v>356</v>
      </c>
      <c r="R35" s="68"/>
      <c r="S35" s="68"/>
      <c r="T35" s="68"/>
      <c r="U35" s="68"/>
      <c r="V35" s="69" t="s">
        <v>357</v>
      </c>
      <c r="W35" s="69"/>
      <c r="X35" s="69"/>
      <c r="Y35" s="69"/>
      <c r="Z35" s="69"/>
      <c r="AA35" s="69"/>
      <c r="AB35" s="69"/>
    </row>
    <row r="36" customFormat="false" ht="39.75" hidden="false" customHeight="true" outlineLevel="0" collapsed="false">
      <c r="B36" s="68" t="s">
        <v>358</v>
      </c>
      <c r="C36" s="68"/>
      <c r="D36" s="68"/>
      <c r="E36" s="68"/>
      <c r="F36" s="68"/>
      <c r="G36" s="68" t="s">
        <v>359</v>
      </c>
      <c r="H36" s="68"/>
      <c r="I36" s="68"/>
      <c r="J36" s="68"/>
      <c r="K36" s="68"/>
      <c r="L36" s="68"/>
      <c r="M36" s="68"/>
      <c r="N36" s="68"/>
      <c r="O36" s="68"/>
      <c r="P36" s="68"/>
      <c r="Q36" s="68" t="s">
        <v>360</v>
      </c>
      <c r="R36" s="68"/>
      <c r="S36" s="68"/>
      <c r="T36" s="68"/>
      <c r="U36" s="68"/>
      <c r="V36" s="69" t="s">
        <v>361</v>
      </c>
      <c r="W36" s="69"/>
      <c r="X36" s="69"/>
      <c r="Y36" s="69"/>
      <c r="Z36" s="69"/>
      <c r="AA36" s="69"/>
      <c r="AB36" s="69"/>
    </row>
    <row r="37" customFormat="false" ht="39.75" hidden="false" customHeight="true" outlineLevel="0" collapsed="false">
      <c r="B37" s="68" t="s">
        <v>362</v>
      </c>
      <c r="C37" s="68"/>
      <c r="D37" s="68"/>
      <c r="E37" s="68"/>
      <c r="F37" s="68"/>
      <c r="G37" s="68" t="s">
        <v>363</v>
      </c>
      <c r="H37" s="68"/>
      <c r="I37" s="68"/>
      <c r="J37" s="68"/>
      <c r="K37" s="68"/>
      <c r="L37" s="68"/>
      <c r="M37" s="68"/>
      <c r="N37" s="68"/>
      <c r="O37" s="68"/>
      <c r="P37" s="68"/>
      <c r="Q37" s="68" t="s">
        <v>364</v>
      </c>
      <c r="R37" s="68"/>
      <c r="S37" s="68"/>
      <c r="T37" s="68"/>
      <c r="U37" s="68"/>
      <c r="V37" s="69" t="s">
        <v>365</v>
      </c>
      <c r="W37" s="69"/>
      <c r="X37" s="69"/>
      <c r="Y37" s="69"/>
      <c r="Z37" s="69"/>
      <c r="AA37" s="69"/>
      <c r="AB37" s="69"/>
    </row>
    <row r="38" customFormat="false" ht="39.75" hidden="false" customHeight="true" outlineLevel="0" collapsed="false">
      <c r="B38" s="68" t="s">
        <v>366</v>
      </c>
      <c r="C38" s="68"/>
      <c r="D38" s="68"/>
      <c r="E38" s="68"/>
      <c r="F38" s="68"/>
      <c r="G38" s="68" t="s">
        <v>367</v>
      </c>
      <c r="H38" s="68"/>
      <c r="I38" s="68"/>
      <c r="J38" s="68"/>
      <c r="K38" s="68"/>
      <c r="L38" s="68"/>
      <c r="M38" s="68"/>
      <c r="N38" s="68"/>
      <c r="O38" s="68"/>
      <c r="P38" s="68"/>
      <c r="Q38" s="68" t="s">
        <v>368</v>
      </c>
      <c r="R38" s="68"/>
      <c r="S38" s="68"/>
      <c r="T38" s="68"/>
      <c r="U38" s="68"/>
      <c r="V38" s="68" t="s">
        <v>369</v>
      </c>
      <c r="W38" s="68"/>
      <c r="X38" s="68"/>
      <c r="Y38" s="68"/>
      <c r="Z38" s="68"/>
      <c r="AA38" s="68"/>
      <c r="AB38" s="68"/>
    </row>
    <row r="39" customFormat="false" ht="39.75" hidden="false" customHeight="true" outlineLevel="0" collapsed="false">
      <c r="B39" s="68" t="s">
        <v>370</v>
      </c>
      <c r="C39" s="68"/>
      <c r="D39" s="68"/>
      <c r="E39" s="68"/>
      <c r="F39" s="68"/>
      <c r="G39" s="68" t="s">
        <v>371</v>
      </c>
      <c r="H39" s="68"/>
      <c r="I39" s="68"/>
      <c r="J39" s="68"/>
      <c r="K39" s="68"/>
      <c r="L39" s="68"/>
      <c r="M39" s="68"/>
      <c r="N39" s="68"/>
      <c r="O39" s="68"/>
      <c r="P39" s="68"/>
      <c r="Q39" s="68" t="s">
        <v>372</v>
      </c>
      <c r="R39" s="68"/>
      <c r="S39" s="68"/>
      <c r="T39" s="68"/>
      <c r="U39" s="68"/>
      <c r="V39" s="68" t="s">
        <v>373</v>
      </c>
      <c r="W39" s="68"/>
      <c r="X39" s="68"/>
      <c r="Y39" s="68"/>
      <c r="Z39" s="68"/>
      <c r="AA39" s="68"/>
      <c r="AB39" s="68"/>
    </row>
    <row r="41" customFormat="false" ht="15" hidden="false" customHeight="false" outlineLevel="0" collapsed="false">
      <c r="B41" s="66" t="s">
        <v>374</v>
      </c>
    </row>
    <row r="42" customFormat="false" ht="30" hidden="false" customHeight="true" outlineLevel="0" collapsed="false">
      <c r="B42" s="70" t="s">
        <v>375</v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</row>
    <row r="43" customFormat="false" ht="30" hidden="false" customHeight="true" outlineLevel="0" collapsed="false">
      <c r="B43" s="70" t="s">
        <v>376</v>
      </c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</row>
    <row r="44" customFormat="false" ht="30" hidden="false" customHeight="true" outlineLevel="0" collapsed="false">
      <c r="B44" s="70" t="s">
        <v>377</v>
      </c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</row>
    <row r="45" customFormat="false" ht="30" hidden="false" customHeight="true" outlineLevel="0" collapsed="false">
      <c r="B45" s="70" t="s">
        <v>378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</row>
  </sheetData>
  <mergeCells count="64">
    <mergeCell ref="B3:F3"/>
    <mergeCell ref="H3:V3"/>
    <mergeCell ref="X3:AB3"/>
    <mergeCell ref="B5:AB6"/>
    <mergeCell ref="B7:AB7"/>
    <mergeCell ref="B8:F10"/>
    <mergeCell ref="H8:V10"/>
    <mergeCell ref="X8:AB10"/>
    <mergeCell ref="B12:F15"/>
    <mergeCell ref="G12:G15"/>
    <mergeCell ref="H12:V15"/>
    <mergeCell ref="W12:W15"/>
    <mergeCell ref="X12:AB15"/>
    <mergeCell ref="B17:F19"/>
    <mergeCell ref="H17:J25"/>
    <mergeCell ref="K17:M25"/>
    <mergeCell ref="N17:P25"/>
    <mergeCell ref="Q17:S25"/>
    <mergeCell ref="T17:V25"/>
    <mergeCell ref="X17:AB25"/>
    <mergeCell ref="B20:F20"/>
    <mergeCell ref="B21:F25"/>
    <mergeCell ref="B27:AB27"/>
    <mergeCell ref="B28:AB28"/>
    <mergeCell ref="B31:F31"/>
    <mergeCell ref="G31:P31"/>
    <mergeCell ref="Q31:U31"/>
    <mergeCell ref="V31:AB31"/>
    <mergeCell ref="B32:F32"/>
    <mergeCell ref="G32:P32"/>
    <mergeCell ref="Q32:U32"/>
    <mergeCell ref="V32:AB32"/>
    <mergeCell ref="B33:F33"/>
    <mergeCell ref="G33:P33"/>
    <mergeCell ref="Q33:U33"/>
    <mergeCell ref="V33:AB33"/>
    <mergeCell ref="B34:F34"/>
    <mergeCell ref="G34:P34"/>
    <mergeCell ref="Q34:U34"/>
    <mergeCell ref="V34:AB34"/>
    <mergeCell ref="B35:F35"/>
    <mergeCell ref="G35:P35"/>
    <mergeCell ref="Q35:U35"/>
    <mergeCell ref="V35:AB35"/>
    <mergeCell ref="B36:F36"/>
    <mergeCell ref="G36:P36"/>
    <mergeCell ref="Q36:U36"/>
    <mergeCell ref="V36:AB36"/>
    <mergeCell ref="B37:F37"/>
    <mergeCell ref="G37:P37"/>
    <mergeCell ref="Q37:U37"/>
    <mergeCell ref="V37:AB37"/>
    <mergeCell ref="B38:F38"/>
    <mergeCell ref="G38:P38"/>
    <mergeCell ref="Q38:U38"/>
    <mergeCell ref="V38:AB38"/>
    <mergeCell ref="B39:F39"/>
    <mergeCell ref="G39:P39"/>
    <mergeCell ref="Q39:U39"/>
    <mergeCell ref="V39:AB39"/>
    <mergeCell ref="B42:AB42"/>
    <mergeCell ref="B43:AB43"/>
    <mergeCell ref="B44:AB44"/>
    <mergeCell ref="B45:AB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15" min="4" style="0" width="6.51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17.35" hidden="false" customHeight="false" outlineLevel="0" collapsed="false">
      <c r="A1" s="50" t="s">
        <v>379</v>
      </c>
    </row>
    <row r="2" customFormat="false" ht="15" hidden="false" customHeight="false" outlineLevel="0" collapsed="false">
      <c r="A2" s="49" t="s">
        <v>380</v>
      </c>
    </row>
    <row r="4" customFormat="false" ht="15" hidden="false" customHeight="false" outlineLevel="0" collapsed="false">
      <c r="A4" s="71" t="s">
        <v>381</v>
      </c>
    </row>
    <row r="5" customFormat="false" ht="15" hidden="false" customHeight="true" outlineLevel="0" collapsed="false">
      <c r="A5" s="2" t="s">
        <v>382</v>
      </c>
      <c r="B5" s="2"/>
      <c r="C5" s="2"/>
      <c r="D5" s="24" t="s">
        <v>55</v>
      </c>
      <c r="E5" s="24" t="s">
        <v>56</v>
      </c>
      <c r="F5" s="24" t="s">
        <v>57</v>
      </c>
      <c r="G5" s="24" t="s">
        <v>58</v>
      </c>
      <c r="H5" s="24" t="s">
        <v>59</v>
      </c>
      <c r="I5" s="24" t="s">
        <v>60</v>
      </c>
      <c r="J5" s="24" t="s">
        <v>61</v>
      </c>
      <c r="K5" s="24" t="s">
        <v>62</v>
      </c>
      <c r="L5" s="24" t="s">
        <v>63</v>
      </c>
      <c r="M5" s="24" t="s">
        <v>64</v>
      </c>
      <c r="N5" s="24" t="s">
        <v>65</v>
      </c>
      <c r="O5" s="24" t="s">
        <v>66</v>
      </c>
      <c r="P5" s="2" t="s">
        <v>383</v>
      </c>
      <c r="Q5" s="2" t="s">
        <v>384</v>
      </c>
    </row>
    <row r="6" customFormat="false" ht="30" hidden="false" customHeight="true" outlineLevel="0" collapsed="false">
      <c r="A6" s="72" t="s">
        <v>385</v>
      </c>
      <c r="B6" s="72"/>
      <c r="C6" s="72"/>
      <c r="D6" s="73" t="s">
        <v>386</v>
      </c>
      <c r="E6" s="73" t="s">
        <v>387</v>
      </c>
      <c r="F6" s="73" t="s">
        <v>387</v>
      </c>
      <c r="G6" s="73" t="s">
        <v>388</v>
      </c>
      <c r="H6" s="73" t="s">
        <v>389</v>
      </c>
      <c r="I6" s="73" t="s">
        <v>390</v>
      </c>
      <c r="J6" s="73" t="s">
        <v>391</v>
      </c>
      <c r="K6" s="73" t="s">
        <v>392</v>
      </c>
      <c r="L6" s="74" t="s">
        <v>393</v>
      </c>
      <c r="M6" s="74" t="s">
        <v>394</v>
      </c>
      <c r="N6" s="73" t="s">
        <v>395</v>
      </c>
      <c r="O6" s="73" t="s">
        <v>396</v>
      </c>
    </row>
    <row r="7" customFormat="false" ht="17.15" hidden="false" customHeight="false" outlineLevel="0" collapsed="false">
      <c r="A7" s="9" t="s">
        <v>397</v>
      </c>
      <c r="B7" s="9"/>
      <c r="C7" s="9"/>
      <c r="D7" s="75" t="n">
        <f aca="false">SUMIF($B$20:$B$29,$A7,D$20:D$29)</f>
        <v>1</v>
      </c>
      <c r="E7" s="75" t="n">
        <f aca="false">SUMIF($B$20:$B$29,$A7,E$20:E$29)</f>
        <v>1</v>
      </c>
      <c r="F7" s="75" t="n">
        <f aca="false">SUMIF($B$20:$B$29,$A7,F$20:F$29)</f>
        <v>1</v>
      </c>
      <c r="G7" s="75" t="n">
        <f aca="false">SUMIF($B$20:$B$29,$A7,G$20:G$29)</f>
        <v>1</v>
      </c>
      <c r="H7" s="75" t="n">
        <f aca="false">SUMIF($B$20:$B$29,$A7,H$20:H$29)</f>
        <v>1</v>
      </c>
      <c r="I7" s="75" t="n">
        <f aca="false">SUMIF($B$20:$B$29,$A7,I$20:I$29)</f>
        <v>1</v>
      </c>
      <c r="J7" s="75" t="n">
        <f aca="false">SUMIF($B$20:$B$29,$A7,J$20:J$29)</f>
        <v>1</v>
      </c>
      <c r="K7" s="75" t="n">
        <f aca="false">SUMIF($B$20:$B$29,$A7,K$20:K$29)</f>
        <v>1</v>
      </c>
      <c r="L7" s="75" t="n">
        <f aca="false">SUMIF($B$20:$B$29,$A7,L$20:L$29)</f>
        <v>1</v>
      </c>
      <c r="M7" s="75" t="n">
        <f aca="false">SUMIF($B$20:$B$29,$A7,M$20:M$29)</f>
        <v>1</v>
      </c>
      <c r="N7" s="75" t="n">
        <f aca="false">SUMIF($B$20:$B$29,$A7,N$20:N$29)</f>
        <v>1</v>
      </c>
      <c r="O7" s="75" t="n">
        <f aca="false">SUMIF($B$20:$B$29,$A7,O$20:O$29)</f>
        <v>1</v>
      </c>
      <c r="P7" s="76" t="n">
        <f aca="false">SUM(D7:O7)</f>
        <v>12</v>
      </c>
      <c r="Q7" s="10" t="n">
        <f aca="false">SUMIF($B$20:$B$29,$A7,$Q$20:$Q$29)</f>
        <v>1800</v>
      </c>
    </row>
    <row r="8" customFormat="false" ht="15" hidden="false" customHeight="false" outlineLevel="0" collapsed="false">
      <c r="A8" s="7" t="s">
        <v>129</v>
      </c>
      <c r="B8" s="7"/>
      <c r="C8" s="7"/>
      <c r="D8" s="75" t="n">
        <f aca="false">SUMIF($B$20:$B$29,$A8,D$20:D$29)</f>
        <v>1</v>
      </c>
      <c r="E8" s="75" t="n">
        <f aca="false">SUMIF($B$20:$B$29,$A8,E$20:E$29)</f>
        <v>2</v>
      </c>
      <c r="F8" s="75" t="n">
        <f aca="false">SUMIF($B$20:$B$29,$A8,F$20:F$29)</f>
        <v>2</v>
      </c>
      <c r="G8" s="75" t="n">
        <f aca="false">SUMIF($B$20:$B$29,$A8,G$20:G$29)</f>
        <v>1</v>
      </c>
      <c r="H8" s="75" t="n">
        <f aca="false">SUMIF($B$20:$B$29,$A8,H$20:H$29)</f>
        <v>1</v>
      </c>
      <c r="I8" s="75" t="n">
        <f aca="false">SUMIF($B$20:$B$29,$A8,I$20:I$29)</f>
        <v>0.5</v>
      </c>
      <c r="J8" s="75" t="n">
        <f aca="false">SUMIF($B$20:$B$29,$A8,J$20:J$29)</f>
        <v>0.5</v>
      </c>
      <c r="K8" s="75" t="n">
        <f aca="false">SUMIF($B$20:$B$29,$A8,K$20:K$29)</f>
        <v>0.5</v>
      </c>
      <c r="L8" s="75" t="n">
        <f aca="false">SUMIF($B$20:$B$29,$A8,L$20:L$29)</f>
        <v>1</v>
      </c>
      <c r="M8" s="75" t="n">
        <f aca="false">SUMIF($B$20:$B$29,$A8,M$20:M$29)</f>
        <v>1</v>
      </c>
      <c r="N8" s="75" t="n">
        <f aca="false">SUMIF($B$20:$B$29,$A8,N$20:N$29)</f>
        <v>0.5</v>
      </c>
      <c r="O8" s="75" t="n">
        <f aca="false">SUMIF($B$20:$B$29,$A8,O$20:O$29)</f>
        <v>1</v>
      </c>
      <c r="P8" s="76" t="n">
        <f aca="false">SUM(D8:O8)</f>
        <v>12</v>
      </c>
      <c r="Q8" s="10" t="n">
        <f aca="false">SUMIF($B$20:$B$29,$A8,$Q$20:$Q$29)</f>
        <v>1700</v>
      </c>
    </row>
    <row r="9" customFormat="false" ht="15" hidden="false" customHeight="false" outlineLevel="0" collapsed="false">
      <c r="A9" s="7" t="s">
        <v>114</v>
      </c>
      <c r="B9" s="7"/>
      <c r="C9" s="7"/>
      <c r="D9" s="75" t="n">
        <f aca="false">SUMIF($B$20:$B$29,$A9,D$20:D$29)</f>
        <v>1</v>
      </c>
      <c r="E9" s="75" t="n">
        <f aca="false">SUMIF($B$20:$B$29,$A9,E$20:E$29)</f>
        <v>2</v>
      </c>
      <c r="F9" s="75" t="n">
        <f aca="false">SUMIF($B$20:$B$29,$A9,F$20:F$29)</f>
        <v>2</v>
      </c>
      <c r="G9" s="75" t="n">
        <f aca="false">SUMIF($B$20:$B$29,$A9,G$20:G$29)</f>
        <v>2</v>
      </c>
      <c r="H9" s="75" t="n">
        <f aca="false">SUMIF($B$20:$B$29,$A9,H$20:H$29)</f>
        <v>2</v>
      </c>
      <c r="I9" s="75" t="n">
        <f aca="false">SUMIF($B$20:$B$29,$A9,I$20:I$29)</f>
        <v>1</v>
      </c>
      <c r="J9" s="75" t="n">
        <f aca="false">SUMIF($B$20:$B$29,$A9,J$20:J$29)</f>
        <v>1</v>
      </c>
      <c r="K9" s="75" t="n">
        <f aca="false">SUMIF($B$20:$B$29,$A9,K$20:K$29)</f>
        <v>1</v>
      </c>
      <c r="L9" s="75" t="n">
        <f aca="false">SUMIF($B$20:$B$29,$A9,L$20:L$29)</f>
        <v>1</v>
      </c>
      <c r="M9" s="75" t="n">
        <f aca="false">SUMIF($B$20:$B$29,$A9,M$20:M$29)</f>
        <v>1.5</v>
      </c>
      <c r="N9" s="75" t="n">
        <f aca="false">SUMIF($B$20:$B$29,$A9,N$20:N$29)</f>
        <v>1.5</v>
      </c>
      <c r="O9" s="75" t="n">
        <f aca="false">SUMIF($B$20:$B$29,$A9,O$20:O$29)</f>
        <v>0.5</v>
      </c>
      <c r="P9" s="76" t="n">
        <f aca="false">SUM(D9:O9)</f>
        <v>16.5</v>
      </c>
      <c r="Q9" s="10" t="n">
        <f aca="false">SUMIF($B$20:$B$29,$A9,$Q$20:$Q$29)</f>
        <v>2075</v>
      </c>
    </row>
    <row r="10" customFormat="false" ht="15" hidden="false" customHeight="false" outlineLevel="0" collapsed="false">
      <c r="A10" s="7" t="s">
        <v>184</v>
      </c>
      <c r="B10" s="7"/>
      <c r="C10" s="7"/>
      <c r="D10" s="75" t="n">
        <f aca="false">SUMIF($B$20:$B$29,$A10,D$20:D$29)</f>
        <v>0</v>
      </c>
      <c r="E10" s="75" t="n">
        <f aca="false">SUMIF($B$20:$B$29,$A10,E$20:E$29)</f>
        <v>0</v>
      </c>
      <c r="F10" s="75" t="n">
        <f aca="false">SUMIF($B$20:$B$29,$A10,F$20:F$29)</f>
        <v>0</v>
      </c>
      <c r="G10" s="75" t="n">
        <f aca="false">SUMIF($B$20:$B$29,$A10,G$20:G$29)</f>
        <v>3</v>
      </c>
      <c r="H10" s="75" t="n">
        <f aca="false">SUMIF($B$20:$B$29,$A10,H$20:H$29)</f>
        <v>3</v>
      </c>
      <c r="I10" s="75" t="n">
        <f aca="false">SUMIF($B$20:$B$29,$A10,I$20:I$29)</f>
        <v>3</v>
      </c>
      <c r="J10" s="75" t="n">
        <f aca="false">SUMIF($B$20:$B$29,$A10,J$20:J$29)</f>
        <v>3</v>
      </c>
      <c r="K10" s="75" t="n">
        <f aca="false">SUMIF($B$20:$B$29,$A10,K$20:K$29)</f>
        <v>3</v>
      </c>
      <c r="L10" s="75" t="n">
        <f aca="false">SUMIF($B$20:$B$29,$A10,L$20:L$29)</f>
        <v>3</v>
      </c>
      <c r="M10" s="75" t="n">
        <f aca="false">SUMIF($B$20:$B$29,$A10,M$20:M$29)</f>
        <v>1</v>
      </c>
      <c r="N10" s="75" t="n">
        <f aca="false">SUMIF($B$20:$B$29,$A10,N$20:N$29)</f>
        <v>0</v>
      </c>
      <c r="O10" s="75" t="n">
        <f aca="false">SUMIF($B$20:$B$29,$A10,O$20:O$29)</f>
        <v>0</v>
      </c>
      <c r="P10" s="76" t="n">
        <f aca="false">SUM(D10:O10)</f>
        <v>19</v>
      </c>
      <c r="Q10" s="10" t="n">
        <f aca="false">SUMIF($B$20:$B$29,$A10,$Q$20:$Q$29)</f>
        <v>2250</v>
      </c>
    </row>
    <row r="11" customFormat="false" ht="15" hidden="false" customHeight="false" outlineLevel="0" collapsed="false">
      <c r="A11" s="7" t="s">
        <v>206</v>
      </c>
      <c r="B11" s="7"/>
      <c r="C11" s="7"/>
      <c r="D11" s="75" t="n">
        <f aca="false">SUMIF($B$20:$B$29,$A11,D$20:D$29)</f>
        <v>0</v>
      </c>
      <c r="E11" s="75" t="n">
        <f aca="false">SUMIF($B$20:$B$29,$A11,E$20:E$29)</f>
        <v>0</v>
      </c>
      <c r="F11" s="75" t="n">
        <f aca="false">SUMIF($B$20:$B$29,$A11,F$20:F$29)</f>
        <v>0</v>
      </c>
      <c r="G11" s="75" t="n">
        <f aca="false">SUMIF($B$20:$B$29,$A11,G$20:G$29)</f>
        <v>0</v>
      </c>
      <c r="H11" s="75" t="n">
        <f aca="false">SUMIF($B$20:$B$29,$A11,H$20:H$29)</f>
        <v>0</v>
      </c>
      <c r="I11" s="75" t="n">
        <f aca="false">SUMIF($B$20:$B$29,$A11,I$20:I$29)</f>
        <v>0</v>
      </c>
      <c r="J11" s="75" t="n">
        <f aca="false">SUMIF($B$20:$B$29,$A11,J$20:J$29)</f>
        <v>1</v>
      </c>
      <c r="K11" s="75" t="n">
        <f aca="false">SUMIF($B$20:$B$29,$A11,K$20:K$29)</f>
        <v>1</v>
      </c>
      <c r="L11" s="75" t="n">
        <f aca="false">SUMIF($B$20:$B$29,$A11,L$20:L$29)</f>
        <v>1</v>
      </c>
      <c r="M11" s="75" t="n">
        <f aca="false">SUMIF($B$20:$B$29,$A11,M$20:M$29)</f>
        <v>1</v>
      </c>
      <c r="N11" s="75" t="n">
        <f aca="false">SUMIF($B$20:$B$29,$A11,N$20:N$29)</f>
        <v>0</v>
      </c>
      <c r="O11" s="75" t="n">
        <f aca="false">SUMIF($B$20:$B$29,$A11,O$20:O$29)</f>
        <v>0</v>
      </c>
      <c r="P11" s="76" t="n">
        <f aca="false">SUM(D11:O11)</f>
        <v>4</v>
      </c>
      <c r="Q11" s="10" t="n">
        <f aca="false">SUMIF($B$20:$B$29,$A11,$Q$20:$Q$29)</f>
        <v>400</v>
      </c>
    </row>
    <row r="12" customFormat="false" ht="15" hidden="false" customHeight="false" outlineLevel="0" collapsed="false">
      <c r="A12" s="7" t="s">
        <v>242</v>
      </c>
      <c r="B12" s="7"/>
      <c r="C12" s="7"/>
      <c r="D12" s="75" t="n">
        <f aca="false">SUMIF($B$20:$B$29,$A12,D$20:D$29)</f>
        <v>0</v>
      </c>
      <c r="E12" s="75" t="n">
        <f aca="false">SUMIF($B$20:$B$29,$A12,E$20:E$29)</f>
        <v>0</v>
      </c>
      <c r="F12" s="75" t="n">
        <f aca="false">SUMIF($B$20:$B$29,$A12,F$20:F$29)</f>
        <v>0</v>
      </c>
      <c r="G12" s="75" t="n">
        <f aca="false">SUMIF($B$20:$B$29,$A12,G$20:G$29)</f>
        <v>0</v>
      </c>
      <c r="H12" s="75" t="n">
        <f aca="false">SUMIF($B$20:$B$29,$A12,H$20:H$29)</f>
        <v>0</v>
      </c>
      <c r="I12" s="75" t="n">
        <f aca="false">SUMIF($B$20:$B$29,$A12,I$20:I$29)</f>
        <v>1</v>
      </c>
      <c r="J12" s="75" t="n">
        <f aca="false">SUMIF($B$20:$B$29,$A12,J$20:J$29)</f>
        <v>1</v>
      </c>
      <c r="K12" s="75" t="n">
        <f aca="false">SUMIF($B$20:$B$29,$A12,K$20:K$29)</f>
        <v>1</v>
      </c>
      <c r="L12" s="75" t="n">
        <f aca="false">SUMIF($B$20:$B$29,$A12,L$20:L$29)</f>
        <v>1</v>
      </c>
      <c r="M12" s="75" t="n">
        <f aca="false">SUMIF($B$20:$B$29,$A12,M$20:M$29)</f>
        <v>1</v>
      </c>
      <c r="N12" s="75" t="n">
        <f aca="false">SUMIF($B$20:$B$29,$A12,N$20:N$29)</f>
        <v>1</v>
      </c>
      <c r="O12" s="75" t="n">
        <f aca="false">SUMIF($B$20:$B$29,$A12,O$20:O$29)</f>
        <v>0</v>
      </c>
      <c r="P12" s="76" t="n">
        <f aca="false">SUM(D12:O12)</f>
        <v>6</v>
      </c>
      <c r="Q12" s="10" t="n">
        <f aca="false">SUMIF($B$20:$B$29,$A12,$Q$20:$Q$29)</f>
        <v>600</v>
      </c>
    </row>
    <row r="13" customFormat="false" ht="15" hidden="false" customHeight="false" outlineLevel="0" collapsed="false">
      <c r="A13" s="26" t="s">
        <v>398</v>
      </c>
      <c r="B13" s="26"/>
      <c r="C13" s="26"/>
      <c r="D13" s="77" t="n">
        <f aca="false">SUM(D7:D12)</f>
        <v>3</v>
      </c>
      <c r="E13" s="77" t="n">
        <f aca="false">SUM(E7:E12)</f>
        <v>5</v>
      </c>
      <c r="F13" s="77" t="n">
        <f aca="false">SUM(F7:F12)</f>
        <v>5</v>
      </c>
      <c r="G13" s="77" t="n">
        <f aca="false">SUM(G7:G12)</f>
        <v>7</v>
      </c>
      <c r="H13" s="77" t="n">
        <f aca="false">SUM(H7:H12)</f>
        <v>7</v>
      </c>
      <c r="I13" s="77" t="n">
        <f aca="false">SUM(I7:I12)</f>
        <v>6.5</v>
      </c>
      <c r="J13" s="77" t="n">
        <f aca="false">SUM(J7:J12)</f>
        <v>7.5</v>
      </c>
      <c r="K13" s="77" t="n">
        <f aca="false">SUM(K7:K12)</f>
        <v>7.5</v>
      </c>
      <c r="L13" s="77" t="n">
        <f aca="false">SUM(L7:L12)</f>
        <v>8</v>
      </c>
      <c r="M13" s="77" t="n">
        <f aca="false">SUM(M7:M12)</f>
        <v>6.5</v>
      </c>
      <c r="N13" s="77" t="n">
        <f aca="false">SUM(N7:N12)</f>
        <v>4</v>
      </c>
      <c r="O13" s="77" t="n">
        <f aca="false">SUM(O7:O12)</f>
        <v>2.5</v>
      </c>
      <c r="P13" s="77" t="n">
        <f aca="false">SUM(P7:P12)</f>
        <v>69.5</v>
      </c>
      <c r="Q13" s="78" t="n">
        <f aca="false">SUM(Q7:Q12)</f>
        <v>8825</v>
      </c>
    </row>
    <row r="14" customFormat="false" ht="15" hidden="false" customHeight="false" outlineLevel="0" collapsed="false">
      <c r="A14" s="79" t="s">
        <v>399</v>
      </c>
      <c r="B14" s="79"/>
      <c r="C14" s="79"/>
      <c r="D14" s="80" t="n">
        <f aca="false">SUMIF($C$20:$C$29,"社員",D$20:D$29)</f>
        <v>3</v>
      </c>
      <c r="E14" s="80" t="n">
        <f aca="false">SUMIF($C$20:$C$29,"社員",E$20:E$29)</f>
        <v>3</v>
      </c>
      <c r="F14" s="80" t="n">
        <f aca="false">SUMIF($C$20:$C$29,"社員",F$20:F$29)</f>
        <v>3</v>
      </c>
      <c r="G14" s="80" t="n">
        <f aca="false">SUMIF($C$20:$C$29,"社員",G$20:G$29)</f>
        <v>4</v>
      </c>
      <c r="H14" s="80" t="n">
        <f aca="false">SUMIF($C$20:$C$29,"社員",H$20:H$29)</f>
        <v>4</v>
      </c>
      <c r="I14" s="80" t="n">
        <f aca="false">SUMIF($C$20:$C$29,"社員",I$20:I$29)</f>
        <v>3</v>
      </c>
      <c r="J14" s="80" t="n">
        <f aca="false">SUMIF($C$20:$C$29,"社員",J$20:J$29)</f>
        <v>3</v>
      </c>
      <c r="K14" s="80" t="n">
        <f aca="false">SUMIF($C$20:$C$29,"社員",K$20:K$29)</f>
        <v>3</v>
      </c>
      <c r="L14" s="80" t="n">
        <f aca="false">SUMIF($C$20:$C$29,"社員",L$20:L$29)</f>
        <v>3.5</v>
      </c>
      <c r="M14" s="80" t="n">
        <f aca="false">SUMIF($C$20:$C$29,"社員",M$20:M$29)</f>
        <v>3.5</v>
      </c>
      <c r="N14" s="80" t="n">
        <f aca="false">SUMIF($C$20:$C$29,"社員",N$20:N$29)</f>
        <v>2</v>
      </c>
      <c r="O14" s="80" t="n">
        <f aca="false">SUMIF($C$20:$C$29,"社員",O$20:O$29)</f>
        <v>2.5</v>
      </c>
      <c r="P14" s="80" t="n">
        <f aca="false">SUMIF($C$20:$C$29,"社員",P$20:P$29)</f>
        <v>37.5</v>
      </c>
      <c r="Q14" s="81" t="n">
        <f aca="false">SUMIF($C$20:$C$29,"社員",Q$20:Q$29)</f>
        <v>5625</v>
      </c>
    </row>
    <row r="15" customFormat="false" ht="15" hidden="false" customHeight="false" outlineLevel="0" collapsed="false">
      <c r="A15" s="79" t="s">
        <v>400</v>
      </c>
      <c r="B15" s="79"/>
      <c r="C15" s="79"/>
      <c r="D15" s="80" t="n">
        <f aca="false">SUMIF($C$20:$C$29,"パートナー",D$20:D$29)</f>
        <v>0</v>
      </c>
      <c r="E15" s="80" t="n">
        <f aca="false">SUMIF($C$20:$C$29,"パートナー",E$20:E$29)</f>
        <v>2</v>
      </c>
      <c r="F15" s="80" t="n">
        <f aca="false">SUMIF($C$20:$C$29,"パートナー",F$20:F$29)</f>
        <v>2</v>
      </c>
      <c r="G15" s="80" t="n">
        <f aca="false">SUMIF($C$20:$C$29,"パートナー",G$20:G$29)</f>
        <v>3</v>
      </c>
      <c r="H15" s="80" t="n">
        <f aca="false">SUMIF($C$20:$C$29,"パートナー",H$20:H$29)</f>
        <v>3</v>
      </c>
      <c r="I15" s="80" t="n">
        <f aca="false">SUMIF($C$20:$C$29,"パートナー",I$20:I$29)</f>
        <v>3.5</v>
      </c>
      <c r="J15" s="80" t="n">
        <f aca="false">SUMIF($C$20:$C$29,"パートナー",J$20:J$29)</f>
        <v>4.5</v>
      </c>
      <c r="K15" s="80" t="n">
        <f aca="false">SUMIF($C$20:$C$29,"パートナー",K$20:K$29)</f>
        <v>4.5</v>
      </c>
      <c r="L15" s="80" t="n">
        <f aca="false">SUMIF($C$20:$C$29,"パートナー",L$20:L$29)</f>
        <v>4.5</v>
      </c>
      <c r="M15" s="80" t="n">
        <f aca="false">SUMIF($C$20:$C$29,"パートナー",M$20:M$29)</f>
        <v>3</v>
      </c>
      <c r="N15" s="80" t="n">
        <f aca="false">SUMIF($C$20:$C$29,"パートナー",N$20:N$29)</f>
        <v>2</v>
      </c>
      <c r="O15" s="80" t="n">
        <f aca="false">SUMIF($C$20:$C$29,"パートナー",O$20:O$29)</f>
        <v>0</v>
      </c>
      <c r="P15" s="80" t="n">
        <f aca="false">SUMIF($C$20:$C$29,"パートナー",P$20:P$29)</f>
        <v>32</v>
      </c>
      <c r="Q15" s="81" t="n">
        <f aca="false">SUMIF($C$20:$C$29,"パートナー",Q$20:Q$29)</f>
        <v>3200</v>
      </c>
    </row>
    <row r="16" customFormat="false" ht="15" hidden="false" customHeight="false" outlineLevel="0" collapsed="false">
      <c r="A16" s="79" t="s">
        <v>401</v>
      </c>
      <c r="B16" s="79"/>
      <c r="C16" s="79"/>
      <c r="D16" s="82" t="n">
        <f aca="false">IF(D13=0,0,D15/D13)</f>
        <v>0</v>
      </c>
      <c r="E16" s="82" t="n">
        <f aca="false">IF(E13=0,0,E15/E13)</f>
        <v>0.4</v>
      </c>
      <c r="F16" s="82" t="n">
        <f aca="false">IF(F13=0,0,F15/F13)</f>
        <v>0.4</v>
      </c>
      <c r="G16" s="82" t="n">
        <f aca="false">IF(G13=0,0,G15/G13)</f>
        <v>0.428571428571429</v>
      </c>
      <c r="H16" s="82" t="n">
        <f aca="false">IF(H13=0,0,H15/H13)</f>
        <v>0.428571428571429</v>
      </c>
      <c r="I16" s="82" t="n">
        <f aca="false">IF(I13=0,0,I15/I13)</f>
        <v>0.538461538461538</v>
      </c>
      <c r="J16" s="82" t="n">
        <f aca="false">IF(J13=0,0,J15/J13)</f>
        <v>0.6</v>
      </c>
      <c r="K16" s="82" t="n">
        <f aca="false">IF(K13=0,0,K15/K13)</f>
        <v>0.6</v>
      </c>
      <c r="L16" s="82" t="n">
        <f aca="false">IF(L13=0,0,L15/L13)</f>
        <v>0.5625</v>
      </c>
      <c r="M16" s="82" t="n">
        <f aca="false">IF(M13=0,0,M15/M13)</f>
        <v>0.461538461538462</v>
      </c>
      <c r="N16" s="82" t="n">
        <f aca="false">IF(N13=0,0,N15/N13)</f>
        <v>0.5</v>
      </c>
      <c r="O16" s="82" t="n">
        <f aca="false">IF(O13=0,0,O15/O13)</f>
        <v>0</v>
      </c>
      <c r="P16" s="82" t="n">
        <f aca="false">IF(P13=0,0,P15/P13)</f>
        <v>0.460431654676259</v>
      </c>
      <c r="Q16" s="82"/>
    </row>
    <row r="18" customFormat="false" ht="15" hidden="false" customHeight="false" outlineLevel="0" collapsed="false">
      <c r="A18" s="71" t="s">
        <v>402</v>
      </c>
    </row>
    <row r="19" customFormat="false" ht="15" hidden="false" customHeight="false" outlineLevel="0" collapsed="false">
      <c r="A19" s="2" t="s">
        <v>403</v>
      </c>
      <c r="B19" s="2" t="s">
        <v>382</v>
      </c>
      <c r="C19" s="2" t="s">
        <v>404</v>
      </c>
      <c r="D19" s="24" t="s">
        <v>55</v>
      </c>
      <c r="E19" s="24" t="s">
        <v>56</v>
      </c>
      <c r="F19" s="24" t="s">
        <v>57</v>
      </c>
      <c r="G19" s="24" t="s">
        <v>58</v>
      </c>
      <c r="H19" s="24" t="s">
        <v>59</v>
      </c>
      <c r="I19" s="24" t="s">
        <v>60</v>
      </c>
      <c r="J19" s="24" t="s">
        <v>61</v>
      </c>
      <c r="K19" s="24" t="s">
        <v>62</v>
      </c>
      <c r="L19" s="24" t="s">
        <v>63</v>
      </c>
      <c r="M19" s="24" t="s">
        <v>64</v>
      </c>
      <c r="N19" s="24" t="s">
        <v>65</v>
      </c>
      <c r="O19" s="24" t="s">
        <v>66</v>
      </c>
      <c r="P19" s="2" t="s">
        <v>383</v>
      </c>
      <c r="Q19" s="2" t="s">
        <v>384</v>
      </c>
    </row>
    <row r="20" customFormat="false" ht="17.15" hidden="false" customHeight="false" outlineLevel="0" collapsed="false">
      <c r="A20" s="9" t="s">
        <v>405</v>
      </c>
      <c r="B20" s="9" t="s">
        <v>397</v>
      </c>
      <c r="C20" s="7" t="s">
        <v>406</v>
      </c>
      <c r="D20" s="83" t="n">
        <v>1</v>
      </c>
      <c r="E20" s="83" t="n">
        <v>1</v>
      </c>
      <c r="F20" s="83" t="n">
        <v>1</v>
      </c>
      <c r="G20" s="83" t="n">
        <v>1</v>
      </c>
      <c r="H20" s="83" t="n">
        <v>1</v>
      </c>
      <c r="I20" s="83" t="n">
        <v>1</v>
      </c>
      <c r="J20" s="83" t="n">
        <v>1</v>
      </c>
      <c r="K20" s="83" t="n">
        <v>1</v>
      </c>
      <c r="L20" s="83" t="n">
        <v>1</v>
      </c>
      <c r="M20" s="83" t="n">
        <v>1</v>
      </c>
      <c r="N20" s="83" t="n">
        <v>1</v>
      </c>
      <c r="O20" s="83" t="n">
        <v>1</v>
      </c>
      <c r="P20" s="76" t="n">
        <f aca="false">SUM(D20:O20)</f>
        <v>12</v>
      </c>
      <c r="Q20" s="10" t="n">
        <f aca="false">P20*IF(C20="社員",前提・予算!$B$5,前提・予算!$B$6)</f>
        <v>1800</v>
      </c>
    </row>
    <row r="21" customFormat="false" ht="15" hidden="false" customHeight="false" outlineLevel="0" collapsed="false">
      <c r="A21" s="7" t="s">
        <v>407</v>
      </c>
      <c r="B21" s="7" t="s">
        <v>129</v>
      </c>
      <c r="C21" s="7" t="s">
        <v>406</v>
      </c>
      <c r="D21" s="83" t="n">
        <v>1</v>
      </c>
      <c r="E21" s="83" t="n">
        <v>1</v>
      </c>
      <c r="F21" s="83" t="n">
        <v>1</v>
      </c>
      <c r="G21" s="83" t="n">
        <v>1</v>
      </c>
      <c r="H21" s="83" t="n">
        <v>1</v>
      </c>
      <c r="I21" s="83" t="n">
        <v>0.5</v>
      </c>
      <c r="J21" s="83" t="n">
        <v>0.5</v>
      </c>
      <c r="K21" s="83" t="n">
        <v>0.5</v>
      </c>
      <c r="L21" s="83" t="n">
        <v>1</v>
      </c>
      <c r="M21" s="83" t="n">
        <v>1</v>
      </c>
      <c r="N21" s="83" t="n">
        <v>0.5</v>
      </c>
      <c r="O21" s="83" t="n">
        <v>1</v>
      </c>
      <c r="P21" s="76" t="n">
        <f aca="false">SUM(D21:O21)</f>
        <v>10</v>
      </c>
      <c r="Q21" s="10" t="n">
        <f aca="false">P21*IF(C21="社員",前提・予算!$B$5,前提・予算!$B$6)</f>
        <v>1500</v>
      </c>
    </row>
    <row r="22" customFormat="false" ht="17.15" hidden="false" customHeight="false" outlineLevel="0" collapsed="false">
      <c r="A22" s="7" t="s">
        <v>408</v>
      </c>
      <c r="B22" s="7" t="s">
        <v>129</v>
      </c>
      <c r="C22" s="7" t="s">
        <v>409</v>
      </c>
      <c r="D22" s="83"/>
      <c r="E22" s="83" t="n">
        <v>1</v>
      </c>
      <c r="F22" s="83" t="n">
        <v>1</v>
      </c>
      <c r="G22" s="83"/>
      <c r="H22" s="83"/>
      <c r="I22" s="83"/>
      <c r="J22" s="83"/>
      <c r="K22" s="83"/>
      <c r="L22" s="83"/>
      <c r="M22" s="83"/>
      <c r="N22" s="83"/>
      <c r="O22" s="83"/>
      <c r="P22" s="76" t="n">
        <f aca="false">SUM(D22:O22)</f>
        <v>2</v>
      </c>
      <c r="Q22" s="10" t="n">
        <f aca="false">P22*IF(C22="社員",前提・予算!$B$5,前提・予算!$B$6)</f>
        <v>200</v>
      </c>
    </row>
    <row r="23" customFormat="false" ht="15" hidden="false" customHeight="false" outlineLevel="0" collapsed="false">
      <c r="A23" s="7" t="s">
        <v>410</v>
      </c>
      <c r="B23" s="7" t="s">
        <v>114</v>
      </c>
      <c r="C23" s="7" t="s">
        <v>406</v>
      </c>
      <c r="D23" s="83" t="n">
        <v>1</v>
      </c>
      <c r="E23" s="83" t="n">
        <v>1</v>
      </c>
      <c r="F23" s="83" t="n">
        <v>1</v>
      </c>
      <c r="G23" s="83" t="n">
        <v>1</v>
      </c>
      <c r="H23" s="83" t="n">
        <v>1</v>
      </c>
      <c r="I23" s="83" t="n">
        <v>0.5</v>
      </c>
      <c r="J23" s="83" t="n">
        <v>0.5</v>
      </c>
      <c r="K23" s="83" t="n">
        <v>0.5</v>
      </c>
      <c r="L23" s="83" t="n">
        <v>0.5</v>
      </c>
      <c r="M23" s="83" t="n">
        <v>0.5</v>
      </c>
      <c r="N23" s="83" t="n">
        <v>0.5</v>
      </c>
      <c r="O23" s="83" t="n">
        <v>0.5</v>
      </c>
      <c r="P23" s="76" t="n">
        <f aca="false">SUM(D23:O23)</f>
        <v>8.5</v>
      </c>
      <c r="Q23" s="10" t="n">
        <f aca="false">P23*IF(C23="社員",前提・予算!$B$5,前提・予算!$B$6)</f>
        <v>1275</v>
      </c>
    </row>
    <row r="24" customFormat="false" ht="17.15" hidden="false" customHeight="false" outlineLevel="0" collapsed="false">
      <c r="A24" s="9" t="s">
        <v>411</v>
      </c>
      <c r="B24" s="7" t="s">
        <v>114</v>
      </c>
      <c r="C24" s="7" t="s">
        <v>409</v>
      </c>
      <c r="D24" s="83"/>
      <c r="E24" s="83" t="n">
        <v>1</v>
      </c>
      <c r="F24" s="83" t="n">
        <v>1</v>
      </c>
      <c r="G24" s="83" t="n">
        <v>1</v>
      </c>
      <c r="H24" s="83" t="n">
        <v>1</v>
      </c>
      <c r="I24" s="83" t="n">
        <v>0.5</v>
      </c>
      <c r="J24" s="83" t="n">
        <v>0.5</v>
      </c>
      <c r="K24" s="83" t="n">
        <v>0.5</v>
      </c>
      <c r="L24" s="83" t="n">
        <v>0.5</v>
      </c>
      <c r="M24" s="83" t="n">
        <v>1</v>
      </c>
      <c r="N24" s="83" t="n">
        <v>1</v>
      </c>
      <c r="O24" s="83"/>
      <c r="P24" s="76" t="n">
        <f aca="false">SUM(D24:O24)</f>
        <v>8</v>
      </c>
      <c r="Q24" s="10" t="n">
        <f aca="false">P24*IF(C24="社員",前提・予算!$B$5,前提・予算!$B$6)</f>
        <v>800</v>
      </c>
    </row>
    <row r="25" customFormat="false" ht="15" hidden="false" customHeight="false" outlineLevel="0" collapsed="false">
      <c r="A25" s="7" t="s">
        <v>412</v>
      </c>
      <c r="B25" s="7" t="s">
        <v>184</v>
      </c>
      <c r="C25" s="7" t="s">
        <v>406</v>
      </c>
      <c r="D25" s="83"/>
      <c r="E25" s="83"/>
      <c r="F25" s="83"/>
      <c r="G25" s="83" t="n">
        <v>1</v>
      </c>
      <c r="H25" s="83" t="n">
        <v>1</v>
      </c>
      <c r="I25" s="83" t="n">
        <v>1</v>
      </c>
      <c r="J25" s="83" t="n">
        <v>1</v>
      </c>
      <c r="K25" s="83" t="n">
        <v>1</v>
      </c>
      <c r="L25" s="83" t="n">
        <v>1</v>
      </c>
      <c r="M25" s="83" t="n">
        <v>1</v>
      </c>
      <c r="N25" s="83"/>
      <c r="O25" s="83"/>
      <c r="P25" s="76" t="n">
        <f aca="false">SUM(D25:O25)</f>
        <v>7</v>
      </c>
      <c r="Q25" s="10" t="n">
        <f aca="false">P25*IF(C25="社員",前提・予算!$B$5,前提・予算!$B$6)</f>
        <v>1050</v>
      </c>
    </row>
    <row r="26" customFormat="false" ht="17.15" hidden="false" customHeight="false" outlineLevel="0" collapsed="false">
      <c r="A26" s="7" t="s">
        <v>413</v>
      </c>
      <c r="B26" s="7" t="s">
        <v>184</v>
      </c>
      <c r="C26" s="7" t="s">
        <v>409</v>
      </c>
      <c r="D26" s="83"/>
      <c r="E26" s="83"/>
      <c r="F26" s="83"/>
      <c r="G26" s="83" t="n">
        <v>1</v>
      </c>
      <c r="H26" s="83" t="n">
        <v>1</v>
      </c>
      <c r="I26" s="83" t="n">
        <v>1</v>
      </c>
      <c r="J26" s="83" t="n">
        <v>1</v>
      </c>
      <c r="K26" s="83" t="n">
        <v>1</v>
      </c>
      <c r="L26" s="83" t="n">
        <v>1</v>
      </c>
      <c r="M26" s="83"/>
      <c r="N26" s="83"/>
      <c r="O26" s="83"/>
      <c r="P26" s="76" t="n">
        <f aca="false">SUM(D26:O26)</f>
        <v>6</v>
      </c>
      <c r="Q26" s="10" t="n">
        <f aca="false">P26*IF(C26="社員",前提・予算!$B$5,前提・予算!$B$6)</f>
        <v>600</v>
      </c>
    </row>
    <row r="27" customFormat="false" ht="17.15" hidden="false" customHeight="false" outlineLevel="0" collapsed="false">
      <c r="A27" s="7" t="s">
        <v>414</v>
      </c>
      <c r="B27" s="7" t="s">
        <v>184</v>
      </c>
      <c r="C27" s="7" t="s">
        <v>409</v>
      </c>
      <c r="D27" s="83"/>
      <c r="E27" s="83"/>
      <c r="F27" s="83"/>
      <c r="G27" s="83" t="n">
        <v>1</v>
      </c>
      <c r="H27" s="83" t="n">
        <v>1</v>
      </c>
      <c r="I27" s="83" t="n">
        <v>1</v>
      </c>
      <c r="J27" s="83" t="n">
        <v>1</v>
      </c>
      <c r="K27" s="83" t="n">
        <v>1</v>
      </c>
      <c r="L27" s="83" t="n">
        <v>1</v>
      </c>
      <c r="M27" s="83"/>
      <c r="N27" s="83"/>
      <c r="O27" s="83"/>
      <c r="P27" s="76" t="n">
        <f aca="false">SUM(D27:O27)</f>
        <v>6</v>
      </c>
      <c r="Q27" s="10" t="n">
        <f aca="false">P27*IF(C27="社員",前提・予算!$B$5,前提・予算!$B$6)</f>
        <v>600</v>
      </c>
    </row>
    <row r="28" customFormat="false" ht="17.15" hidden="false" customHeight="false" outlineLevel="0" collapsed="false">
      <c r="A28" s="7" t="s">
        <v>415</v>
      </c>
      <c r="B28" s="7" t="s">
        <v>206</v>
      </c>
      <c r="C28" s="7" t="s">
        <v>409</v>
      </c>
      <c r="D28" s="83"/>
      <c r="E28" s="83"/>
      <c r="F28" s="83"/>
      <c r="G28" s="83"/>
      <c r="H28" s="83"/>
      <c r="I28" s="83"/>
      <c r="J28" s="83" t="n">
        <v>1</v>
      </c>
      <c r="K28" s="83" t="n">
        <v>1</v>
      </c>
      <c r="L28" s="83" t="n">
        <v>1</v>
      </c>
      <c r="M28" s="83" t="n">
        <v>1</v>
      </c>
      <c r="N28" s="83"/>
      <c r="O28" s="83"/>
      <c r="P28" s="76" t="n">
        <f aca="false">SUM(D28:O28)</f>
        <v>4</v>
      </c>
      <c r="Q28" s="10" t="n">
        <f aca="false">P28*IF(C28="社員",前提・予算!$B$5,前提・予算!$B$6)</f>
        <v>400</v>
      </c>
    </row>
    <row r="29" customFormat="false" ht="17.15" hidden="false" customHeight="false" outlineLevel="0" collapsed="false">
      <c r="A29" s="7" t="s">
        <v>416</v>
      </c>
      <c r="B29" s="7" t="s">
        <v>242</v>
      </c>
      <c r="C29" s="7" t="s">
        <v>409</v>
      </c>
      <c r="D29" s="83"/>
      <c r="E29" s="83"/>
      <c r="F29" s="83"/>
      <c r="G29" s="83"/>
      <c r="H29" s="83"/>
      <c r="I29" s="83" t="n">
        <v>1</v>
      </c>
      <c r="J29" s="83" t="n">
        <v>1</v>
      </c>
      <c r="K29" s="83" t="n">
        <v>1</v>
      </c>
      <c r="L29" s="83" t="n">
        <v>1</v>
      </c>
      <c r="M29" s="83" t="n">
        <v>1</v>
      </c>
      <c r="N29" s="83" t="n">
        <v>1</v>
      </c>
      <c r="O29" s="83"/>
      <c r="P29" s="76" t="n">
        <f aca="false">SUM(D29:O29)</f>
        <v>6</v>
      </c>
      <c r="Q29" s="10" t="n">
        <f aca="false">P29*IF(C29="社員",前提・予算!$B$5,前提・予算!$B$6)</f>
        <v>600</v>
      </c>
    </row>
    <row r="31" customFormat="false" ht="15" hidden="false" customHeight="false" outlineLevel="0" collapsed="false">
      <c r="A31" s="71" t="s">
        <v>417</v>
      </c>
    </row>
    <row r="32" customFormat="false" ht="44" hidden="false" customHeight="false" outlineLevel="0" collapsed="false">
      <c r="A32" s="2" t="s">
        <v>418</v>
      </c>
      <c r="B32" s="2" t="s">
        <v>406</v>
      </c>
      <c r="C32" s="2" t="s">
        <v>409</v>
      </c>
      <c r="D32" s="2" t="s">
        <v>419</v>
      </c>
      <c r="E32" s="2" t="s">
        <v>420</v>
      </c>
    </row>
    <row r="33" customFormat="false" ht="15" hidden="false" customHeight="false" outlineLevel="0" collapsed="false">
      <c r="A33" s="7" t="s">
        <v>421</v>
      </c>
      <c r="B33" s="84" t="n">
        <f aca="false">COUNTIF(C20:C29,"社員")</f>
        <v>4</v>
      </c>
      <c r="C33" s="84" t="n">
        <f aca="false">COUNTIF(C20:C29,"パートナー")</f>
        <v>6</v>
      </c>
      <c r="D33" s="84" t="n">
        <f aca="false">B33+C33</f>
        <v>10</v>
      </c>
      <c r="E33" s="13" t="n">
        <f aca="false">C33/D33</f>
        <v>0.6</v>
      </c>
    </row>
    <row r="34" customFormat="false" ht="15" hidden="false" customHeight="false" outlineLevel="0" collapsed="false">
      <c r="A34" s="7" t="s">
        <v>422</v>
      </c>
      <c r="B34" s="76" t="n">
        <f aca="false">SUMIF(C20:C29,"社員",P20:P29)</f>
        <v>37.5</v>
      </c>
      <c r="C34" s="76" t="n">
        <f aca="false">SUMIF(C20:C29,"パートナー",P20:P29)</f>
        <v>32</v>
      </c>
      <c r="D34" s="76" t="n">
        <f aca="false">B34+C34</f>
        <v>69.5</v>
      </c>
      <c r="E34" s="13" t="n">
        <f aca="false">C34/D34</f>
        <v>0.460431654676259</v>
      </c>
    </row>
    <row r="35" customFormat="false" ht="15" hidden="false" customHeight="false" outlineLevel="0" collapsed="false">
      <c r="A35" s="7" t="s">
        <v>423</v>
      </c>
      <c r="B35" s="10" t="n">
        <f aca="false">SUMIF(C20:C29,"社員",Q20:Q29)</f>
        <v>5625</v>
      </c>
      <c r="C35" s="10" t="n">
        <f aca="false">SUMIF(C20:C29,"パートナー",Q20:Q29)</f>
        <v>3200</v>
      </c>
      <c r="D35" s="10" t="n">
        <f aca="false">B35+C35</f>
        <v>8825</v>
      </c>
      <c r="E35" s="47"/>
    </row>
    <row r="36" customFormat="false" ht="15" hidden="false" customHeight="false" outlineLevel="0" collapsed="false">
      <c r="A36" s="7" t="s">
        <v>424</v>
      </c>
      <c r="B36" s="47"/>
      <c r="C36" s="47"/>
      <c r="D36" s="47"/>
      <c r="E36" s="13" t="n">
        <f aca="false">MAX(D16:O16)</f>
        <v>0.6</v>
      </c>
    </row>
    <row r="37" customFormat="false" ht="17.15" hidden="false" customHeight="false" outlineLevel="0" collapsed="false">
      <c r="A37" s="7" t="s">
        <v>425</v>
      </c>
      <c r="B37" s="47"/>
      <c r="C37" s="47"/>
      <c r="D37" s="47"/>
      <c r="E37" s="85" t="str">
        <f aca="false">IF(AND(E33&lt;=前提・予算!B7,E34&lt;=前提・予算!B7,E36&lt;=前提・予算!B7),"OK","NG")</f>
        <v>OK</v>
      </c>
    </row>
    <row r="39" customFormat="false" ht="17.15" hidden="false" customHeight="false" outlineLevel="0" collapsed="false">
      <c r="A39" s="86" t="s">
        <v>426</v>
      </c>
    </row>
    <row r="40" customFormat="false" ht="15" hidden="false" customHeight="false" outlineLevel="0" collapsed="false">
      <c r="A40" s="2" t="s">
        <v>382</v>
      </c>
      <c r="B40" s="2" t="s">
        <v>427</v>
      </c>
      <c r="C40" s="24" t="s">
        <v>428</v>
      </c>
      <c r="D40" s="2" t="s">
        <v>429</v>
      </c>
      <c r="E40" s="2" t="s">
        <v>430</v>
      </c>
    </row>
    <row r="41" customFormat="false" ht="17.15" hidden="false" customHeight="false" outlineLevel="0" collapsed="false">
      <c r="A41" s="9" t="s">
        <v>397</v>
      </c>
      <c r="B41" s="76" t="n">
        <f aca="false">P7</f>
        <v>12</v>
      </c>
      <c r="C41" s="76" t="n">
        <f aca="false">SUMIF(WBS!$D$6:$D$92,A41,WBS!$G$6:$G$92)</f>
        <v>12</v>
      </c>
      <c r="D41" s="76" t="n">
        <f aca="false">B41-C41</f>
        <v>0</v>
      </c>
      <c r="E41" s="7" t="str">
        <f aca="false">IF(ABS(D41)&lt;0.001,"一致","差異あり")</f>
        <v>一致</v>
      </c>
    </row>
    <row r="42" customFormat="false" ht="15" hidden="false" customHeight="false" outlineLevel="0" collapsed="false">
      <c r="A42" s="7" t="s">
        <v>129</v>
      </c>
      <c r="B42" s="76" t="n">
        <f aca="false">P8</f>
        <v>12</v>
      </c>
      <c r="C42" s="76" t="n">
        <f aca="false">SUMIF(WBS!$D$6:$D$92,A42,WBS!$G$6:$G$92)</f>
        <v>12</v>
      </c>
      <c r="D42" s="76" t="n">
        <f aca="false">B42-C42</f>
        <v>0</v>
      </c>
      <c r="E42" s="7" t="str">
        <f aca="false">IF(ABS(D42)&lt;0.001,"一致","差異あり")</f>
        <v>一致</v>
      </c>
    </row>
    <row r="43" customFormat="false" ht="15" hidden="false" customHeight="false" outlineLevel="0" collapsed="false">
      <c r="A43" s="7" t="s">
        <v>114</v>
      </c>
      <c r="B43" s="76" t="n">
        <f aca="false">P9</f>
        <v>16.5</v>
      </c>
      <c r="C43" s="76" t="n">
        <f aca="false">SUMIF(WBS!$D$6:$D$92,A43,WBS!$G$6:$G$92)</f>
        <v>16.5</v>
      </c>
      <c r="D43" s="76" t="n">
        <f aca="false">B43-C43</f>
        <v>0</v>
      </c>
      <c r="E43" s="7" t="str">
        <f aca="false">IF(ABS(D43)&lt;0.001,"一致","差異あり")</f>
        <v>一致</v>
      </c>
    </row>
    <row r="44" customFormat="false" ht="15" hidden="false" customHeight="false" outlineLevel="0" collapsed="false">
      <c r="A44" s="7" t="s">
        <v>184</v>
      </c>
      <c r="B44" s="76" t="n">
        <f aca="false">P10</f>
        <v>19</v>
      </c>
      <c r="C44" s="76" t="n">
        <f aca="false">SUMIF(WBS!$D$6:$D$92,A44,WBS!$G$6:$G$92)</f>
        <v>19</v>
      </c>
      <c r="D44" s="76" t="n">
        <f aca="false">B44-C44</f>
        <v>0</v>
      </c>
      <c r="E44" s="7" t="str">
        <f aca="false">IF(ABS(D44)&lt;0.001,"一致","差異あり")</f>
        <v>一致</v>
      </c>
    </row>
    <row r="45" customFormat="false" ht="15" hidden="false" customHeight="false" outlineLevel="0" collapsed="false">
      <c r="A45" s="7" t="s">
        <v>206</v>
      </c>
      <c r="B45" s="76" t="n">
        <f aca="false">P11</f>
        <v>4</v>
      </c>
      <c r="C45" s="76" t="n">
        <f aca="false">SUMIF(WBS!$D$6:$D$92,A45,WBS!$G$6:$G$92)</f>
        <v>4</v>
      </c>
      <c r="D45" s="76" t="n">
        <f aca="false">B45-C45</f>
        <v>0</v>
      </c>
      <c r="E45" s="7" t="str">
        <f aca="false">IF(ABS(D45)&lt;0.001,"一致","差異あり")</f>
        <v>一致</v>
      </c>
    </row>
    <row r="46" customFormat="false" ht="15" hidden="false" customHeight="false" outlineLevel="0" collapsed="false">
      <c r="A46" s="7" t="s">
        <v>242</v>
      </c>
      <c r="B46" s="76" t="n">
        <f aca="false">P12</f>
        <v>6</v>
      </c>
      <c r="C46" s="76" t="n">
        <f aca="false">SUMIF(WBS!$D$6:$D$92,A46,WBS!$G$6:$G$92)</f>
        <v>6</v>
      </c>
      <c r="D46" s="76" t="n">
        <f aca="false">B46-C46</f>
        <v>0</v>
      </c>
      <c r="E46" s="7" t="str">
        <f aca="false">IF(ABS(D46)&lt;0.001,"一致","差異あり")</f>
        <v>一致</v>
      </c>
    </row>
    <row r="47" customFormat="false" ht="15" hidden="false" customHeight="false" outlineLevel="0" collapsed="false">
      <c r="A47" s="11" t="s">
        <v>419</v>
      </c>
      <c r="B47" s="76" t="n">
        <f aca="false">SUM(B41:B46)</f>
        <v>69.5</v>
      </c>
      <c r="C47" s="76" t="n">
        <f aca="false">SUM(C41:C46)</f>
        <v>69.5</v>
      </c>
      <c r="D47" s="76" t="n">
        <f aca="false">B47-C47</f>
        <v>0</v>
      </c>
      <c r="E47" s="7" t="str">
        <f aca="false">IF(ABS(D47)&lt;0.001,"一致","差異あり")</f>
        <v>一致</v>
      </c>
    </row>
  </sheetData>
  <mergeCells count="12"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64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87" t="s">
        <v>431</v>
      </c>
    </row>
    <row r="2" customFormat="false" ht="29.85" hidden="false" customHeight="false" outlineLevel="0" collapsed="false">
      <c r="A2" s="24" t="s">
        <v>432</v>
      </c>
      <c r="B2" s="2" t="s">
        <v>433</v>
      </c>
      <c r="C2" s="2" t="s">
        <v>434</v>
      </c>
      <c r="D2" s="2" t="s">
        <v>435</v>
      </c>
      <c r="E2" s="2" t="s">
        <v>436</v>
      </c>
      <c r="F2" s="2" t="s">
        <v>51</v>
      </c>
    </row>
    <row r="3" customFormat="false" ht="31.5" hidden="false" customHeight="true" outlineLevel="0" collapsed="false">
      <c r="A3" s="31" t="n">
        <v>1</v>
      </c>
      <c r="B3" s="31" t="s">
        <v>437</v>
      </c>
      <c r="C3" s="31" t="s">
        <v>438</v>
      </c>
      <c r="D3" s="31" t="s">
        <v>439</v>
      </c>
      <c r="E3" s="30" t="s">
        <v>440</v>
      </c>
      <c r="F3" s="30" t="s">
        <v>74</v>
      </c>
    </row>
    <row r="4" customFormat="false" ht="31.5" hidden="false" customHeight="true" outlineLevel="0" collapsed="false">
      <c r="A4" s="31" t="n">
        <v>2</v>
      </c>
      <c r="B4" s="31" t="s">
        <v>441</v>
      </c>
      <c r="C4" s="31" t="s">
        <v>438</v>
      </c>
      <c r="D4" s="31" t="s">
        <v>439</v>
      </c>
      <c r="E4" s="30" t="s">
        <v>442</v>
      </c>
      <c r="F4" s="31" t="s">
        <v>114</v>
      </c>
    </row>
    <row r="5" customFormat="false" ht="31.5" hidden="false" customHeight="true" outlineLevel="0" collapsed="false">
      <c r="A5" s="31" t="n">
        <v>3</v>
      </c>
      <c r="B5" s="31" t="s">
        <v>443</v>
      </c>
      <c r="C5" s="31" t="s">
        <v>438</v>
      </c>
      <c r="D5" s="31" t="s">
        <v>444</v>
      </c>
      <c r="E5" s="31" t="s">
        <v>445</v>
      </c>
      <c r="F5" s="30" t="s">
        <v>74</v>
      </c>
    </row>
    <row r="6" customFormat="false" ht="31.5" hidden="false" customHeight="true" outlineLevel="0" collapsed="false">
      <c r="A6" s="31" t="n">
        <v>4</v>
      </c>
      <c r="B6" s="30" t="s">
        <v>446</v>
      </c>
      <c r="C6" s="31" t="s">
        <v>438</v>
      </c>
      <c r="D6" s="31" t="s">
        <v>444</v>
      </c>
      <c r="E6" s="31" t="s">
        <v>447</v>
      </c>
      <c r="F6" s="31" t="s">
        <v>129</v>
      </c>
    </row>
    <row r="7" customFormat="false" ht="31.5" hidden="false" customHeight="true" outlineLevel="0" collapsed="false">
      <c r="A7" s="31" t="n">
        <v>5</v>
      </c>
      <c r="B7" s="31" t="s">
        <v>448</v>
      </c>
      <c r="C7" s="31" t="s">
        <v>438</v>
      </c>
      <c r="D7" s="31" t="s">
        <v>444</v>
      </c>
      <c r="E7" s="30" t="s">
        <v>449</v>
      </c>
      <c r="F7" s="31" t="s">
        <v>242</v>
      </c>
    </row>
    <row r="8" customFormat="false" ht="31.5" hidden="false" customHeight="true" outlineLevel="0" collapsed="false">
      <c r="A8" s="31" t="n">
        <v>6</v>
      </c>
      <c r="B8" s="31" t="s">
        <v>450</v>
      </c>
      <c r="C8" s="31" t="s">
        <v>438</v>
      </c>
      <c r="D8" s="31" t="s">
        <v>444</v>
      </c>
      <c r="E8" s="31" t="s">
        <v>451</v>
      </c>
      <c r="F8" s="30" t="s">
        <v>74</v>
      </c>
    </row>
    <row r="9" customFormat="false" ht="31.5" hidden="false" customHeight="true" outlineLevel="0" collapsed="false">
      <c r="A9" s="31" t="n">
        <v>7</v>
      </c>
      <c r="B9" s="31" t="s">
        <v>452</v>
      </c>
      <c r="C9" s="31" t="s">
        <v>444</v>
      </c>
      <c r="D9" s="31" t="s">
        <v>444</v>
      </c>
      <c r="E9" s="30" t="s">
        <v>453</v>
      </c>
      <c r="F9" s="31" t="s">
        <v>114</v>
      </c>
    </row>
    <row r="10" customFormat="false" ht="31.5" hidden="false" customHeight="true" outlineLevel="0" collapsed="false">
      <c r="A10" s="31" t="n">
        <v>8</v>
      </c>
      <c r="B10" s="31" t="s">
        <v>454</v>
      </c>
      <c r="C10" s="31" t="s">
        <v>444</v>
      </c>
      <c r="D10" s="31" t="s">
        <v>455</v>
      </c>
      <c r="E10" s="30" t="s">
        <v>456</v>
      </c>
      <c r="F10" s="31" t="s">
        <v>114</v>
      </c>
    </row>
    <row r="11" customFormat="false" ht="31.5" hidden="false" customHeight="true" outlineLevel="0" collapsed="false">
      <c r="A11" s="31" t="n">
        <v>9</v>
      </c>
      <c r="B11" s="31" t="s">
        <v>457</v>
      </c>
      <c r="C11" s="31" t="s">
        <v>444</v>
      </c>
      <c r="D11" s="31" t="s">
        <v>444</v>
      </c>
      <c r="E11" s="30" t="s">
        <v>458</v>
      </c>
      <c r="F11" s="31" t="s">
        <v>114</v>
      </c>
    </row>
    <row r="13" customFormat="false" ht="16.15" hidden="false" customHeight="false" outlineLevel="0" collapsed="false">
      <c r="A13" s="87" t="s">
        <v>459</v>
      </c>
    </row>
    <row r="14" customFormat="false" ht="29.85" hidden="false" customHeight="false" outlineLevel="0" collapsed="false">
      <c r="A14" s="24" t="s">
        <v>432</v>
      </c>
      <c r="B14" s="2" t="s">
        <v>460</v>
      </c>
      <c r="C14" s="2" t="s">
        <v>461</v>
      </c>
      <c r="D14" s="2" t="s">
        <v>462</v>
      </c>
      <c r="E14" s="2" t="s">
        <v>463</v>
      </c>
      <c r="F14" s="2" t="s">
        <v>464</v>
      </c>
    </row>
    <row r="15" customFormat="false" ht="31.5" hidden="false" customHeight="true" outlineLevel="0" collapsed="false">
      <c r="A15" s="31" t="n">
        <v>1</v>
      </c>
      <c r="B15" s="30" t="s">
        <v>78</v>
      </c>
      <c r="C15" s="31" t="s">
        <v>465</v>
      </c>
      <c r="D15" s="31" t="s">
        <v>466</v>
      </c>
      <c r="E15" s="31" t="s">
        <v>467</v>
      </c>
      <c r="F15" s="30" t="s">
        <v>74</v>
      </c>
    </row>
    <row r="16" customFormat="false" ht="31.5" hidden="false" customHeight="true" outlineLevel="0" collapsed="false">
      <c r="A16" s="31" t="n">
        <v>2</v>
      </c>
      <c r="B16" s="30" t="s">
        <v>468</v>
      </c>
      <c r="C16" s="31" t="s">
        <v>469</v>
      </c>
      <c r="D16" s="31" t="s">
        <v>470</v>
      </c>
      <c r="E16" s="31" t="s">
        <v>471</v>
      </c>
      <c r="F16" s="30" t="s">
        <v>74</v>
      </c>
    </row>
    <row r="17" customFormat="false" ht="31.5" hidden="false" customHeight="true" outlineLevel="0" collapsed="false">
      <c r="A17" s="31" t="n">
        <v>3</v>
      </c>
      <c r="B17" s="30" t="s">
        <v>106</v>
      </c>
      <c r="C17" s="31" t="s">
        <v>472</v>
      </c>
      <c r="D17" s="30" t="s">
        <v>473</v>
      </c>
      <c r="E17" s="30" t="s">
        <v>474</v>
      </c>
      <c r="F17" s="30" t="s">
        <v>74</v>
      </c>
    </row>
    <row r="18" customFormat="false" ht="31.5" hidden="false" customHeight="true" outlineLevel="0" collapsed="false">
      <c r="A18" s="31" t="n">
        <v>4</v>
      </c>
      <c r="B18" s="30" t="s">
        <v>132</v>
      </c>
      <c r="C18" s="31" t="s">
        <v>475</v>
      </c>
      <c r="D18" s="31" t="s">
        <v>476</v>
      </c>
      <c r="E18" s="31" t="s">
        <v>477</v>
      </c>
      <c r="F18" s="31" t="s">
        <v>129</v>
      </c>
    </row>
    <row r="19" customFormat="false" ht="31.5" hidden="false" customHeight="true" outlineLevel="0" collapsed="false">
      <c r="A19" s="31" t="n">
        <v>5</v>
      </c>
      <c r="B19" s="31" t="s">
        <v>125</v>
      </c>
      <c r="C19" s="31" t="s">
        <v>478</v>
      </c>
      <c r="D19" s="31" t="s">
        <v>479</v>
      </c>
      <c r="E19" s="30" t="s">
        <v>480</v>
      </c>
      <c r="F19" s="3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2026-09-28T13:38:55Z</dcterms:created>
  <dc:creator>openpyxl</dc:creator>
  <dc:description/>
  <dc:language>en-US</dc:language>
  <cp:lastModifiedBy/>
  <dcterms:modified xsi:type="dcterms:W3CDTF">2026-09-28T13:38:55Z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